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5\OneDrive\dhani DA18\"/>
    </mc:Choice>
  </mc:AlternateContent>
  <xr:revisionPtr revIDLastSave="0" documentId="8_{C5E471E7-098E-4CE2-8169-49902D8ABC46}" xr6:coauthVersionLast="47" xr6:coauthVersionMax="47" xr10:uidLastSave="{00000000-0000-0000-0000-000000000000}"/>
  <bookViews>
    <workbookView xWindow="-110" yWindow="-110" windowWidth="19420" windowHeight="10300" firstSheet="2" activeTab="5" xr2:uid="{92946BE7-C052-4F90-82F6-C66F9B0B6314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" i="10" l="1"/>
  <c r="C4" i="10"/>
  <c r="C5" i="10"/>
  <c r="C2" i="10"/>
  <c r="C3" i="9"/>
  <c r="C4" i="9"/>
  <c r="C5" i="9"/>
  <c r="C2" i="9"/>
  <c r="D3" i="8"/>
  <c r="D4" i="8"/>
  <c r="D5" i="8"/>
  <c r="D2" i="8"/>
  <c r="D3" i="7"/>
  <c r="D4" i="7"/>
  <c r="D5" i="7"/>
  <c r="D2" i="7"/>
  <c r="D3" i="6"/>
  <c r="D4" i="6"/>
  <c r="D5" i="6"/>
  <c r="D2" i="6"/>
  <c r="D3" i="5"/>
  <c r="D4" i="5"/>
  <c r="D5" i="5"/>
  <c r="D2" i="5"/>
  <c r="C3" i="4"/>
  <c r="C4" i="4"/>
  <c r="C5" i="4"/>
  <c r="C6" i="4"/>
  <c r="C2" i="4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3" i="3"/>
  <c r="C4" i="3"/>
  <c r="C5" i="3"/>
  <c r="C2" i="3"/>
  <c r="D7" i="2" a="1"/>
  <c r="D7" i="2" s="1"/>
  <c r="D12" i="2" a="1"/>
  <c r="D12" i="2"/>
  <c r="D17" i="2" a="1"/>
  <c r="D17" i="2"/>
  <c r="D2" i="2" a="1"/>
  <c r="D2" i="2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<sst xmlns="http://schemas.openxmlformats.org/spreadsheetml/2006/main" count="129" uniqueCount="47">
  <si>
    <t xml:space="preserve">Facuty Name </t>
  </si>
  <si>
    <t>Classes Conducted</t>
  </si>
  <si>
    <t>Performance</t>
  </si>
  <si>
    <t>Attendance %</t>
  </si>
  <si>
    <t>Rajesh</t>
  </si>
  <si>
    <t>Sunita</t>
  </si>
  <si>
    <t>Manoj</t>
  </si>
  <si>
    <t>Anil</t>
  </si>
  <si>
    <t>Kavita</t>
  </si>
  <si>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</si>
  <si>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</si>
  <si>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</si>
  <si>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</si>
  <si>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</si>
  <si>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</si>
  <si>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</si>
  <si>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</si>
  <si>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</si>
  <si>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Employee Name</t>
  </si>
  <si>
    <t>Salary</t>
  </si>
  <si>
    <t>Bonus Status</t>
  </si>
  <si>
    <t>Rohit</t>
  </si>
  <si>
    <t>Simran</t>
  </si>
  <si>
    <t>Vijay</t>
  </si>
  <si>
    <t>Nisha</t>
  </si>
  <si>
    <t>Grade</t>
  </si>
  <si>
    <t>Name</t>
  </si>
  <si>
    <t>Age</t>
  </si>
  <si>
    <t>Experience (Years)</t>
  </si>
  <si>
    <t>Eligible</t>
  </si>
  <si>
    <t>Assignment Submitted</t>
  </si>
  <si>
    <t>Yes</t>
  </si>
  <si>
    <t>No</t>
  </si>
  <si>
    <t>Customer Name</t>
  </si>
  <si>
    <t>Purchase Amount</t>
  </si>
  <si>
    <t>Membership</t>
  </si>
  <si>
    <t>Discount</t>
  </si>
  <si>
    <t>Aakash</t>
  </si>
  <si>
    <t>Bhavna</t>
  </si>
  <si>
    <t>Divya</t>
  </si>
  <si>
    <t>Applicant</t>
  </si>
  <si>
    <t>CIBIL Score</t>
  </si>
  <si>
    <t>Loan Status</t>
  </si>
  <si>
    <t>Present</t>
  </si>
  <si>
    <t>Status</t>
  </si>
  <si>
    <t>Number 1</t>
  </si>
  <si>
    <t>Number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</si>
</sst>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1"/>
      <color rgb="FF1F2328"/>
      <name val="Segoe UI"/>
      <family val="2"/>
    </font>
    <font>
      <sz val="12"/>
      <color rgb="FF1F232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1" fillId="4" borderId="0" xfId="0" applyFont="1" applyFill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6E1A2C7-34AC-4DE9-8B3E-9C618207959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4E0BE-7A36-437A-917A-D8DC763E8917}">
  <dimension ref="A1:E21"/>
  <sheetViews>
    <sheetView zoomScale="115" zoomScaleNormal="115" workbookViewId="0">
      <selection activeCell="F6" sqref="F6"/>
    </sheetView>
  </sheetViews>
  <sheetFormatPr defaultRowHeight="14.5" x14ac:dyDescent="0.35"/>
  <cols>
    <col min="1" max="1" width="12" bestFit="1" customWidth="1"/>
    <col min="2" max="2" width="16.36328125" bestFit="1" customWidth="1"/>
    <col min="3" max="3" width="12.26953125" bestFit="1" customWidth="1"/>
    <col min="4" max="4" width="18" bestFit="1" customWidth="1"/>
  </cols>
  <sheetData>
    <row r="1" spans="1:5" x14ac:dyDescent="0.35">
      <c r="A1" s="1" t="s">
        <v>0</v>
      </c>
      <c r="B1" s="1" t="s">
        <v>1</v>
      </c>
      <c r="C1" s="1" t="s">
        <v>3</v>
      </c>
      <c r="D1" s="1" t="s">
        <v>2</v>
      </c>
      <c r="E1" s="2"/>
    </row>
    <row r="2" spans="1:5" x14ac:dyDescent="0.35">
      <c r="A2" s="1" t="s">
        <v>4</v>
      </c>
      <c r="B2" s="1">
        <v>45</v>
      </c>
      <c r="C2" s="1">
        <v>92</v>
      </c>
      <c r="D2" s="1" t="str">
        <f>IF(AND(C2&gt;=90,B2&gt;=40),"Excellent",IF(C2&gt;=80,"Good","Needs Improvement"))</f>
        <v>Excellent</v>
      </c>
      <c r="E2" s="2"/>
    </row>
    <row r="3" spans="1:5" x14ac:dyDescent="0.35">
      <c r="A3" s="1" t="s">
        <v>5</v>
      </c>
      <c r="B3" s="1">
        <v>38</v>
      </c>
      <c r="C3" s="1">
        <v>85</v>
      </c>
      <c r="D3" s="1" t="str">
        <f t="shared" ref="D3:D21" si="0">IF(AND(C3&gt;=90,B3&gt;=40),"Excellent",IF(C3&gt;=80,"Good","Needs Improvement"))</f>
        <v>Good</v>
      </c>
      <c r="E3" s="2"/>
    </row>
    <row r="4" spans="1:5" x14ac:dyDescent="0.35">
      <c r="A4" s="1" t="s">
        <v>6</v>
      </c>
      <c r="B4" s="1">
        <v>50</v>
      </c>
      <c r="C4" s="1">
        <v>95</v>
      </c>
      <c r="D4" s="1" t="str">
        <f t="shared" si="0"/>
        <v>Excellent</v>
      </c>
      <c r="E4" s="2"/>
    </row>
    <row r="5" spans="1:5" x14ac:dyDescent="0.35">
      <c r="A5" s="1" t="s">
        <v>8</v>
      </c>
      <c r="B5" s="1">
        <v>30</v>
      </c>
      <c r="C5" s="1">
        <v>70</v>
      </c>
      <c r="D5" s="1" t="str">
        <f t="shared" si="0"/>
        <v>Needs Improvement</v>
      </c>
      <c r="E5" s="2"/>
    </row>
    <row r="6" spans="1:5" x14ac:dyDescent="0.35">
      <c r="A6" s="1" t="s">
        <v>7</v>
      </c>
      <c r="B6" s="1">
        <v>42</v>
      </c>
      <c r="C6" s="1">
        <v>88</v>
      </c>
      <c r="D6" s="1" t="str">
        <f t="shared" si="0"/>
        <v>Good</v>
      </c>
      <c r="E6" s="2"/>
    </row>
    <row r="7" spans="1:5" x14ac:dyDescent="0.35">
      <c r="A7" s="1" t="s">
        <v>4</v>
      </c>
      <c r="B7" s="1">
        <v>45</v>
      </c>
      <c r="C7" s="1">
        <v>92</v>
      </c>
      <c r="D7" s="1" t="str">
        <f t="shared" si="0"/>
        <v>Excellent</v>
      </c>
      <c r="E7" s="2"/>
    </row>
    <row r="8" spans="1:5" x14ac:dyDescent="0.35">
      <c r="A8" s="1" t="s">
        <v>5</v>
      </c>
      <c r="B8" s="1">
        <v>38</v>
      </c>
      <c r="C8" s="1">
        <v>85</v>
      </c>
      <c r="D8" s="1" t="str">
        <f t="shared" si="0"/>
        <v>Good</v>
      </c>
      <c r="E8" s="2"/>
    </row>
    <row r="9" spans="1:5" x14ac:dyDescent="0.35">
      <c r="A9" s="1" t="s">
        <v>6</v>
      </c>
      <c r="B9" s="1">
        <v>50</v>
      </c>
      <c r="C9" s="1">
        <v>95</v>
      </c>
      <c r="D9" s="1" t="str">
        <f t="shared" si="0"/>
        <v>Excellent</v>
      </c>
      <c r="E9" s="2"/>
    </row>
    <row r="10" spans="1:5" x14ac:dyDescent="0.35">
      <c r="A10" s="1" t="s">
        <v>8</v>
      </c>
      <c r="B10" s="1">
        <v>30</v>
      </c>
      <c r="C10" s="1">
        <v>70</v>
      </c>
      <c r="D10" s="1" t="str">
        <f t="shared" si="0"/>
        <v>Needs Improvement</v>
      </c>
      <c r="E10" s="2"/>
    </row>
    <row r="11" spans="1:5" x14ac:dyDescent="0.35">
      <c r="A11" s="1" t="s">
        <v>7</v>
      </c>
      <c r="B11" s="1">
        <v>42</v>
      </c>
      <c r="C11" s="1">
        <v>88</v>
      </c>
      <c r="D11" s="1" t="str">
        <f t="shared" si="0"/>
        <v>Good</v>
      </c>
      <c r="E11" s="2"/>
    </row>
    <row r="12" spans="1:5" x14ac:dyDescent="0.35">
      <c r="A12" s="1" t="s">
        <v>4</v>
      </c>
      <c r="B12" s="1">
        <v>45</v>
      </c>
      <c r="C12" s="1">
        <v>92</v>
      </c>
      <c r="D12" s="1" t="str">
        <f t="shared" si="0"/>
        <v>Excellent</v>
      </c>
      <c r="E12" s="2"/>
    </row>
    <row r="13" spans="1:5" x14ac:dyDescent="0.35">
      <c r="A13" s="1" t="s">
        <v>5</v>
      </c>
      <c r="B13" s="1">
        <v>38</v>
      </c>
      <c r="C13" s="1">
        <v>85</v>
      </c>
      <c r="D13" s="1" t="str">
        <f t="shared" si="0"/>
        <v>Good</v>
      </c>
      <c r="E13" s="2"/>
    </row>
    <row r="14" spans="1:5" x14ac:dyDescent="0.35">
      <c r="A14" s="1" t="s">
        <v>6</v>
      </c>
      <c r="B14" s="1">
        <v>50</v>
      </c>
      <c r="C14" s="1">
        <v>95</v>
      </c>
      <c r="D14" s="1" t="str">
        <f t="shared" si="0"/>
        <v>Excellent</v>
      </c>
      <c r="E14" s="2"/>
    </row>
    <row r="15" spans="1:5" x14ac:dyDescent="0.35">
      <c r="A15" s="1" t="s">
        <v>8</v>
      </c>
      <c r="B15" s="1">
        <v>30</v>
      </c>
      <c r="C15" s="1">
        <v>70</v>
      </c>
      <c r="D15" s="1" t="str">
        <f t="shared" si="0"/>
        <v>Needs Improvement</v>
      </c>
      <c r="E15" s="2"/>
    </row>
    <row r="16" spans="1:5" x14ac:dyDescent="0.35">
      <c r="A16" s="1" t="s">
        <v>7</v>
      </c>
      <c r="B16" s="1">
        <v>42</v>
      </c>
      <c r="C16" s="1">
        <v>88</v>
      </c>
      <c r="D16" s="1" t="str">
        <f t="shared" si="0"/>
        <v>Good</v>
      </c>
      <c r="E16" s="2"/>
    </row>
    <row r="17" spans="1:5" x14ac:dyDescent="0.35">
      <c r="A17" s="1" t="s">
        <v>4</v>
      </c>
      <c r="B17" s="1">
        <v>45</v>
      </c>
      <c r="C17" s="1">
        <v>92</v>
      </c>
      <c r="D17" s="1" t="str">
        <f t="shared" si="0"/>
        <v>Excellent</v>
      </c>
      <c r="E17" s="2"/>
    </row>
    <row r="18" spans="1:5" x14ac:dyDescent="0.35">
      <c r="A18" s="1" t="s">
        <v>5</v>
      </c>
      <c r="B18" s="1">
        <v>38</v>
      </c>
      <c r="C18" s="1">
        <v>85</v>
      </c>
      <c r="D18" s="1" t="str">
        <f t="shared" si="0"/>
        <v>Good</v>
      </c>
      <c r="E18" s="2"/>
    </row>
    <row r="19" spans="1:5" x14ac:dyDescent="0.35">
      <c r="A19" s="1" t="s">
        <v>6</v>
      </c>
      <c r="B19" s="1">
        <v>50</v>
      </c>
      <c r="C19" s="1">
        <v>95</v>
      </c>
      <c r="D19" s="1" t="str">
        <f t="shared" si="0"/>
        <v>Excellent</v>
      </c>
      <c r="E19" s="2"/>
    </row>
    <row r="20" spans="1:5" x14ac:dyDescent="0.35">
      <c r="A20" s="1" t="s">
        <v>8</v>
      </c>
      <c r="B20" s="1">
        <v>30</v>
      </c>
      <c r="C20" s="1">
        <v>70</v>
      </c>
      <c r="D20" s="1" t="str">
        <f t="shared" si="0"/>
        <v>Needs Improvement</v>
      </c>
      <c r="E20" s="2"/>
    </row>
    <row r="21" spans="1:5" x14ac:dyDescent="0.35">
      <c r="A21" s="1" t="s">
        <v>7</v>
      </c>
      <c r="B21" s="1">
        <v>42</v>
      </c>
      <c r="C21" s="1">
        <v>88</v>
      </c>
      <c r="D21" s="1" t="str">
        <f t="shared" si="0"/>
        <v>Good</v>
      </c>
      <c r="E2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F2348-8EBC-4704-B1BF-57DBDCEF6276}">
  <dimension ref="A1:D21"/>
  <sheetViews>
    <sheetView topLeftCell="AT1" workbookViewId="0">
      <selection activeCell="D2" sqref="D2"/>
    </sheetView>
  </sheetViews>
  <sheetFormatPr defaultRowHeight="14.5" x14ac:dyDescent="0.35"/>
  <cols>
    <col min="1" max="1" width="7.26953125" bestFit="1" customWidth="1"/>
    <col min="2" max="2" width="13.54296875" bestFit="1" customWidth="1"/>
    <col min="3" max="3" width="6.1796875" bestFit="1" customWidth="1"/>
    <col min="4" max="4" width="6.08984375" bestFit="1" customWidth="1"/>
  </cols>
  <sheetData>
    <row r="1" spans="1:4" ht="16.5" x14ac:dyDescent="0.35">
      <c r="A1" s="4" t="s">
        <v>9</v>
      </c>
      <c r="B1" s="4" t="s">
        <v>10</v>
      </c>
      <c r="C1" s="4" t="s">
        <v>11</v>
      </c>
      <c r="D1" s="4" t="s">
        <v>12</v>
      </c>
    </row>
    <row r="2" spans="1:4" ht="16.5" x14ac:dyDescent="0.35">
      <c r="A2" s="4">
        <v>1</v>
      </c>
      <c r="B2" s="4" t="s">
        <v>13</v>
      </c>
      <c r="C2" s="4">
        <v>78</v>
      </c>
      <c r="D2" s="4" t="str" cm="1">
        <f t="array" ref="D2:D6">IF(C2:C6 &gt;= 40,"Pass","Fail")</f>
        <v>Pass</v>
      </c>
    </row>
    <row r="3" spans="1:4" ht="16.5" x14ac:dyDescent="0.35">
      <c r="A3" s="4">
        <v>2</v>
      </c>
      <c r="B3" s="4" t="s">
        <v>14</v>
      </c>
      <c r="C3" s="4">
        <v>35</v>
      </c>
      <c r="D3" s="4" t="str">
        <v>Fail</v>
      </c>
    </row>
    <row r="4" spans="1:4" ht="16.5" x14ac:dyDescent="0.35">
      <c r="A4" s="4">
        <v>3</v>
      </c>
      <c r="B4" s="4" t="s">
        <v>15</v>
      </c>
      <c r="C4" s="4">
        <v>62</v>
      </c>
      <c r="D4" s="4" t="str">
        <v>Pass</v>
      </c>
    </row>
    <row r="5" spans="1:4" ht="16.5" x14ac:dyDescent="0.35">
      <c r="A5" s="4">
        <v>4</v>
      </c>
      <c r="B5" s="4" t="s">
        <v>16</v>
      </c>
      <c r="C5" s="4">
        <v>40</v>
      </c>
      <c r="D5" s="4" t="str">
        <v>Pass</v>
      </c>
    </row>
    <row r="6" spans="1:4" ht="16.5" x14ac:dyDescent="0.35">
      <c r="A6" s="4">
        <v>5</v>
      </c>
      <c r="B6" s="4" t="s">
        <v>17</v>
      </c>
      <c r="C6" s="4">
        <v>28</v>
      </c>
      <c r="D6" s="4" t="str">
        <v>Fail</v>
      </c>
    </row>
    <row r="7" spans="1:4" ht="16.5" x14ac:dyDescent="0.35">
      <c r="A7" s="4">
        <v>1</v>
      </c>
      <c r="B7" s="4" t="s">
        <v>13</v>
      </c>
      <c r="C7" s="4">
        <v>78</v>
      </c>
      <c r="D7" s="4" t="str" cm="1">
        <f t="array" ref="D7:D11">IF(C7:C11 &gt;= 40,"Pass","Fail")</f>
        <v>Pass</v>
      </c>
    </row>
    <row r="8" spans="1:4" ht="16.5" x14ac:dyDescent="0.35">
      <c r="A8" s="4">
        <v>2</v>
      </c>
      <c r="B8" s="4" t="s">
        <v>14</v>
      </c>
      <c r="C8" s="4">
        <v>35</v>
      </c>
      <c r="D8" s="4" t="str">
        <v>Fail</v>
      </c>
    </row>
    <row r="9" spans="1:4" ht="16.5" x14ac:dyDescent="0.35">
      <c r="A9" s="4">
        <v>3</v>
      </c>
      <c r="B9" s="4" t="s">
        <v>15</v>
      </c>
      <c r="C9" s="4">
        <v>62</v>
      </c>
      <c r="D9" s="4" t="str">
        <v>Pass</v>
      </c>
    </row>
    <row r="10" spans="1:4" ht="16.5" x14ac:dyDescent="0.35">
      <c r="A10" s="4">
        <v>4</v>
      </c>
      <c r="B10" s="4" t="s">
        <v>16</v>
      </c>
      <c r="C10" s="4">
        <v>40</v>
      </c>
      <c r="D10" s="4" t="str">
        <v>Pass</v>
      </c>
    </row>
    <row r="11" spans="1:4" ht="16.5" x14ac:dyDescent="0.35">
      <c r="A11" s="4">
        <v>5</v>
      </c>
      <c r="B11" s="4" t="s">
        <v>17</v>
      </c>
      <c r="C11" s="4">
        <v>28</v>
      </c>
      <c r="D11" s="4" t="str">
        <v>Fail</v>
      </c>
    </row>
    <row r="12" spans="1:4" ht="16.5" x14ac:dyDescent="0.35">
      <c r="A12" s="4">
        <v>1</v>
      </c>
      <c r="B12" s="4" t="s">
        <v>13</v>
      </c>
      <c r="C12" s="4">
        <v>78</v>
      </c>
      <c r="D12" s="4" t="str" cm="1">
        <f t="array" ref="D12:D16">IF(C12:C16 &gt;= 40,"Pass","Fail")</f>
        <v>Pass</v>
      </c>
    </row>
    <row r="13" spans="1:4" ht="16.5" x14ac:dyDescent="0.35">
      <c r="A13" s="4">
        <v>2</v>
      </c>
      <c r="B13" s="4" t="s">
        <v>14</v>
      </c>
      <c r="C13" s="4">
        <v>35</v>
      </c>
      <c r="D13" s="4" t="str">
        <v>Fail</v>
      </c>
    </row>
    <row r="14" spans="1:4" ht="16.5" x14ac:dyDescent="0.35">
      <c r="A14" s="4">
        <v>3</v>
      </c>
      <c r="B14" s="4" t="s">
        <v>15</v>
      </c>
      <c r="C14" s="4">
        <v>62</v>
      </c>
      <c r="D14" s="4" t="str">
        <v>Pass</v>
      </c>
    </row>
    <row r="15" spans="1:4" ht="16.5" x14ac:dyDescent="0.35">
      <c r="A15" s="4">
        <v>4</v>
      </c>
      <c r="B15" s="4" t="s">
        <v>16</v>
      </c>
      <c r="C15" s="4">
        <v>40</v>
      </c>
      <c r="D15" s="4" t="str">
        <v>Pass</v>
      </c>
    </row>
    <row r="16" spans="1:4" ht="16.5" x14ac:dyDescent="0.35">
      <c r="A16" s="4">
        <v>5</v>
      </c>
      <c r="B16" s="4" t="s">
        <v>17</v>
      </c>
      <c r="C16" s="4">
        <v>28</v>
      </c>
      <c r="D16" s="4" t="str">
        <v>Fail</v>
      </c>
    </row>
    <row r="17" spans="1:4" ht="16.5" x14ac:dyDescent="0.35">
      <c r="A17" s="4">
        <v>1</v>
      </c>
      <c r="B17" s="4" t="s">
        <v>13</v>
      </c>
      <c r="C17" s="4">
        <v>78</v>
      </c>
      <c r="D17" s="4" t="str" cm="1">
        <f t="array" ref="D17:D21">IF(C17:C21 &gt;= 40,"Pass","Fail")</f>
        <v>Pass</v>
      </c>
    </row>
    <row r="18" spans="1:4" ht="16.5" x14ac:dyDescent="0.35">
      <c r="A18" s="4">
        <v>2</v>
      </c>
      <c r="B18" s="4" t="s">
        <v>14</v>
      </c>
      <c r="C18" s="4">
        <v>35</v>
      </c>
      <c r="D18" s="4" t="str">
        <v>Fail</v>
      </c>
    </row>
    <row r="19" spans="1:4" ht="16.5" x14ac:dyDescent="0.35">
      <c r="A19" s="4">
        <v>3</v>
      </c>
      <c r="B19" s="4" t="s">
        <v>15</v>
      </c>
      <c r="C19" s="4">
        <v>62</v>
      </c>
      <c r="D19" s="4" t="str">
        <v>Pass</v>
      </c>
    </row>
    <row r="20" spans="1:4" ht="16.5" x14ac:dyDescent="0.35">
      <c r="A20" s="4">
        <v>4</v>
      </c>
      <c r="B20" s="4" t="s">
        <v>16</v>
      </c>
      <c r="C20" s="4">
        <v>40</v>
      </c>
      <c r="D20" s="4" t="str">
        <v>Pass</v>
      </c>
    </row>
    <row r="21" spans="1:4" ht="16.5" x14ac:dyDescent="0.35">
      <c r="A21" s="4">
        <v>5</v>
      </c>
      <c r="B21" s="4" t="s">
        <v>17</v>
      </c>
      <c r="C21" s="4">
        <v>28</v>
      </c>
      <c r="D21" s="4" t="str">
        <v>Fail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7BDF0-7D20-4846-BC2A-73237B476246}">
  <dimension ref="A1:C21"/>
  <sheetViews>
    <sheetView workbookViewId="0">
      <selection activeCell="E6" sqref="E6"/>
    </sheetView>
  </sheetViews>
  <sheetFormatPr defaultRowHeight="14.5" x14ac:dyDescent="0.35"/>
  <cols>
    <col min="1" max="1" width="15.453125" bestFit="1" customWidth="1"/>
    <col min="2" max="2" width="6.26953125" bestFit="1" customWidth="1"/>
    <col min="3" max="3" width="12" bestFit="1" customWidth="1"/>
  </cols>
  <sheetData>
    <row r="1" spans="1:3" ht="33" x14ac:dyDescent="0.35">
      <c r="A1" s="4" t="s">
        <v>18</v>
      </c>
      <c r="B1" s="4" t="s">
        <v>19</v>
      </c>
      <c r="C1" s="4" t="s">
        <v>20</v>
      </c>
    </row>
    <row r="2" spans="1:3" ht="16.5" x14ac:dyDescent="0.35">
      <c r="A2" s="4" t="s">
        <v>21</v>
      </c>
      <c r="B2" s="4">
        <v>28000</v>
      </c>
      <c r="C2" s="4" t="str">
        <f>IF(B2&gt;=40000,"Bonus","No Bonus")</f>
        <v>No Bonus</v>
      </c>
    </row>
    <row r="3" spans="1:3" ht="16.5" x14ac:dyDescent="0.35">
      <c r="A3" s="4" t="s">
        <v>22</v>
      </c>
      <c r="B3" s="4">
        <v>45000</v>
      </c>
      <c r="C3" s="4" t="str">
        <f t="shared" ref="C3:C21" si="0">IF(B3&gt;=40000,"Bonus","No Bonus")</f>
        <v>Bonus</v>
      </c>
    </row>
    <row r="4" spans="1:3" ht="16.5" x14ac:dyDescent="0.35">
      <c r="A4" s="4" t="s">
        <v>23</v>
      </c>
      <c r="B4" s="4">
        <v>52000</v>
      </c>
      <c r="C4" s="4" t="str">
        <f t="shared" si="0"/>
        <v>Bonus</v>
      </c>
    </row>
    <row r="5" spans="1:3" ht="16.5" x14ac:dyDescent="0.35">
      <c r="A5" s="4" t="s">
        <v>24</v>
      </c>
      <c r="B5" s="4">
        <v>30000</v>
      </c>
      <c r="C5" s="4" t="str">
        <f t="shared" si="0"/>
        <v>No Bonus</v>
      </c>
    </row>
    <row r="6" spans="1:3" ht="16.5" x14ac:dyDescent="0.35">
      <c r="A6" s="4" t="s">
        <v>21</v>
      </c>
      <c r="B6" s="4">
        <v>28000</v>
      </c>
      <c r="C6" s="4" t="str">
        <f t="shared" si="0"/>
        <v>No Bonus</v>
      </c>
    </row>
    <row r="7" spans="1:3" ht="16.5" x14ac:dyDescent="0.35">
      <c r="A7" s="4" t="s">
        <v>22</v>
      </c>
      <c r="B7" s="4">
        <v>45000</v>
      </c>
      <c r="C7" s="4" t="str">
        <f t="shared" si="0"/>
        <v>Bonus</v>
      </c>
    </row>
    <row r="8" spans="1:3" ht="16.5" x14ac:dyDescent="0.35">
      <c r="A8" s="4" t="s">
        <v>23</v>
      </c>
      <c r="B8" s="4">
        <v>52000</v>
      </c>
      <c r="C8" s="4" t="str">
        <f t="shared" si="0"/>
        <v>Bonus</v>
      </c>
    </row>
    <row r="9" spans="1:3" ht="16.5" x14ac:dyDescent="0.35">
      <c r="A9" s="4" t="s">
        <v>24</v>
      </c>
      <c r="B9" s="4">
        <v>30000</v>
      </c>
      <c r="C9" s="4" t="str">
        <f t="shared" si="0"/>
        <v>No Bonus</v>
      </c>
    </row>
    <row r="10" spans="1:3" ht="16.5" x14ac:dyDescent="0.35">
      <c r="A10" s="4" t="s">
        <v>21</v>
      </c>
      <c r="B10" s="4">
        <v>28000</v>
      </c>
      <c r="C10" s="4" t="str">
        <f t="shared" si="0"/>
        <v>No Bonus</v>
      </c>
    </row>
    <row r="11" spans="1:3" ht="16.5" x14ac:dyDescent="0.35">
      <c r="A11" s="4" t="s">
        <v>22</v>
      </c>
      <c r="B11" s="4">
        <v>45000</v>
      </c>
      <c r="C11" s="4" t="str">
        <f t="shared" si="0"/>
        <v>Bonus</v>
      </c>
    </row>
    <row r="12" spans="1:3" ht="16.5" x14ac:dyDescent="0.35">
      <c r="A12" s="4" t="s">
        <v>23</v>
      </c>
      <c r="B12" s="4">
        <v>52000</v>
      </c>
      <c r="C12" s="4" t="str">
        <f t="shared" si="0"/>
        <v>Bonus</v>
      </c>
    </row>
    <row r="13" spans="1:3" ht="16.5" x14ac:dyDescent="0.35">
      <c r="A13" s="4" t="s">
        <v>24</v>
      </c>
      <c r="B13" s="4">
        <v>30000</v>
      </c>
      <c r="C13" s="4" t="str">
        <f t="shared" si="0"/>
        <v>No Bonus</v>
      </c>
    </row>
    <row r="14" spans="1:3" ht="16.5" x14ac:dyDescent="0.35">
      <c r="A14" s="4" t="s">
        <v>21</v>
      </c>
      <c r="B14" s="4">
        <v>28000</v>
      </c>
      <c r="C14" s="4" t="str">
        <f t="shared" si="0"/>
        <v>No Bonus</v>
      </c>
    </row>
    <row r="15" spans="1:3" ht="16.5" x14ac:dyDescent="0.35">
      <c r="A15" s="4" t="s">
        <v>22</v>
      </c>
      <c r="B15" s="4">
        <v>45000</v>
      </c>
      <c r="C15" s="4" t="str">
        <f t="shared" si="0"/>
        <v>Bonus</v>
      </c>
    </row>
    <row r="16" spans="1:3" ht="16.5" x14ac:dyDescent="0.35">
      <c r="A16" s="4" t="s">
        <v>23</v>
      </c>
      <c r="B16" s="4">
        <v>52000</v>
      </c>
      <c r="C16" s="4" t="str">
        <f t="shared" si="0"/>
        <v>Bonus</v>
      </c>
    </row>
    <row r="17" spans="1:3" ht="16.5" x14ac:dyDescent="0.35">
      <c r="A17" s="4" t="s">
        <v>24</v>
      </c>
      <c r="B17" s="4">
        <v>30000</v>
      </c>
      <c r="C17" s="4" t="str">
        <f t="shared" si="0"/>
        <v>No Bonus</v>
      </c>
    </row>
    <row r="18" spans="1:3" ht="16.5" x14ac:dyDescent="0.35">
      <c r="A18" s="4" t="s">
        <v>21</v>
      </c>
      <c r="B18" s="4">
        <v>28000</v>
      </c>
      <c r="C18" s="4" t="str">
        <f t="shared" si="0"/>
        <v>No Bonus</v>
      </c>
    </row>
    <row r="19" spans="1:3" ht="16.5" x14ac:dyDescent="0.35">
      <c r="A19" s="4" t="s">
        <v>22</v>
      </c>
      <c r="B19" s="4">
        <v>45000</v>
      </c>
      <c r="C19" s="4" t="str">
        <f t="shared" si="0"/>
        <v>Bonus</v>
      </c>
    </row>
    <row r="20" spans="1:3" ht="16.5" x14ac:dyDescent="0.35">
      <c r="A20" s="4" t="s">
        <v>23</v>
      </c>
      <c r="B20" s="4">
        <v>52000</v>
      </c>
      <c r="C20" s="4" t="str">
        <f t="shared" si="0"/>
        <v>Bonus</v>
      </c>
    </row>
    <row r="21" spans="1:3" ht="16.5" x14ac:dyDescent="0.35">
      <c r="A21" s="4" t="s">
        <v>24</v>
      </c>
      <c r="B21" s="4">
        <v>30000</v>
      </c>
      <c r="C21" s="4" t="str">
        <f t="shared" si="0"/>
        <v>No Bonus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E1C11-DEFB-4A88-94A0-91C893EB341F}">
  <dimension ref="A1:C6"/>
  <sheetViews>
    <sheetView workbookViewId="0">
      <selection activeCell="E5" sqref="E5"/>
    </sheetView>
  </sheetViews>
  <sheetFormatPr defaultRowHeight="14.5" x14ac:dyDescent="0.35"/>
  <cols>
    <col min="1" max="1" width="15.1796875" bestFit="1" customWidth="1"/>
    <col min="2" max="2" width="6.81640625" bestFit="1" customWidth="1"/>
    <col min="3" max="3" width="6.7265625" bestFit="1" customWidth="1"/>
  </cols>
  <sheetData>
    <row r="1" spans="1:3" ht="17.5" x14ac:dyDescent="0.35">
      <c r="A1" s="7" t="s">
        <v>10</v>
      </c>
      <c r="B1" s="7" t="s">
        <v>11</v>
      </c>
      <c r="C1" s="7" t="s">
        <v>25</v>
      </c>
    </row>
    <row r="2" spans="1:3" ht="17.5" x14ac:dyDescent="0.35">
      <c r="A2" s="7" t="s">
        <v>13</v>
      </c>
      <c r="B2" s="7">
        <v>82</v>
      </c>
      <c r="C2" s="7" t="str">
        <f>IF(B2&gt;=75,"A",IF(B2&gt;=60,"B",IF(B2&gt;=40,"C",IF(B2&lt;40,"Fail"))))</f>
        <v>A</v>
      </c>
    </row>
    <row r="3" spans="1:3" ht="17.5" x14ac:dyDescent="0.35">
      <c r="A3" s="7" t="s">
        <v>14</v>
      </c>
      <c r="B3" s="7">
        <v>67</v>
      </c>
      <c r="C3" s="7" t="str">
        <f t="shared" ref="C3:C6" si="0">IF(B3&gt;=75,"A",IF(B3&gt;=60,"B",IF(B3&gt;=40,"C",IF(B3&lt;40,"Fail"))))</f>
        <v>B</v>
      </c>
    </row>
    <row r="4" spans="1:3" ht="17.5" x14ac:dyDescent="0.35">
      <c r="A4" s="7" t="s">
        <v>15</v>
      </c>
      <c r="B4" s="7">
        <v>45</v>
      </c>
      <c r="C4" s="7" t="str">
        <f t="shared" si="0"/>
        <v>C</v>
      </c>
    </row>
    <row r="5" spans="1:3" ht="17.5" x14ac:dyDescent="0.35">
      <c r="A5" s="7" t="s">
        <v>16</v>
      </c>
      <c r="B5" s="7">
        <v>33</v>
      </c>
      <c r="C5" s="7" t="str">
        <f t="shared" si="0"/>
        <v>Fail</v>
      </c>
    </row>
    <row r="6" spans="1:3" ht="17.5" x14ac:dyDescent="0.35">
      <c r="A6" s="7" t="s">
        <v>17</v>
      </c>
      <c r="B6" s="7">
        <v>90</v>
      </c>
      <c r="C6" s="7" t="str">
        <f t="shared" si="0"/>
        <v>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1AC3E-63BA-4406-B372-A3FA7BB2B3C7}">
  <dimension ref="A1:D5"/>
  <sheetViews>
    <sheetView workbookViewId="0">
      <selection sqref="A1:D5"/>
    </sheetView>
  </sheetViews>
  <sheetFormatPr defaultRowHeight="14.5" x14ac:dyDescent="0.35"/>
  <cols>
    <col min="1" max="1" width="6.90625" bestFit="1" customWidth="1"/>
    <col min="2" max="2" width="4.36328125" bestFit="1" customWidth="1"/>
    <col min="3" max="3" width="17.08984375" bestFit="1" customWidth="1"/>
    <col min="4" max="4" width="10.90625" bestFit="1" customWidth="1"/>
  </cols>
  <sheetData>
    <row r="1" spans="1:4" ht="16.5" x14ac:dyDescent="0.35">
      <c r="A1" s="3" t="s">
        <v>26</v>
      </c>
      <c r="B1" s="4" t="s">
        <v>27</v>
      </c>
      <c r="C1" s="4" t="s">
        <v>28</v>
      </c>
      <c r="D1" s="4" t="s">
        <v>29</v>
      </c>
    </row>
    <row r="2" spans="1:4" ht="16.5" x14ac:dyDescent="0.35">
      <c r="A2" s="4" t="s">
        <v>21</v>
      </c>
      <c r="B2" s="4">
        <v>25</v>
      </c>
      <c r="C2" s="4">
        <v>2</v>
      </c>
      <c r="D2" s="4" t="str">
        <f>IF(AND(B2&gt;=21,C2&gt;=1),"Eligible","Not Eligible")</f>
        <v>Eligible</v>
      </c>
    </row>
    <row r="3" spans="1:4" ht="16.5" x14ac:dyDescent="0.35">
      <c r="A3" s="4" t="s">
        <v>22</v>
      </c>
      <c r="B3" s="4">
        <v>20</v>
      </c>
      <c r="C3" s="4">
        <v>1</v>
      </c>
      <c r="D3" s="4" t="str">
        <f t="shared" ref="D3:D5" si="0">IF(AND(B3&gt;=21,C3&gt;=1),"Eligible","Not Eligible")</f>
        <v>Not Eligible</v>
      </c>
    </row>
    <row r="4" spans="1:4" ht="16.5" x14ac:dyDescent="0.35">
      <c r="A4" s="4" t="s">
        <v>23</v>
      </c>
      <c r="B4" s="4">
        <v>30</v>
      </c>
      <c r="C4" s="4">
        <v>5</v>
      </c>
      <c r="D4" s="4" t="str">
        <f t="shared" si="0"/>
        <v>Eligible</v>
      </c>
    </row>
    <row r="5" spans="1:4" ht="16.5" x14ac:dyDescent="0.35">
      <c r="A5" s="4" t="s">
        <v>24</v>
      </c>
      <c r="B5" s="4">
        <v>22</v>
      </c>
      <c r="C5" s="4">
        <v>0</v>
      </c>
      <c r="D5" s="4" t="str">
        <f t="shared" si="0"/>
        <v>Not Eligible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C2F86-7B4A-45B4-A9A7-CA5F698DE4A5}">
  <dimension ref="A1:D5"/>
  <sheetViews>
    <sheetView tabSelected="1" workbookViewId="0">
      <selection activeCell="D2" sqref="D2"/>
    </sheetView>
  </sheetViews>
  <sheetFormatPr defaultRowHeight="14.5" x14ac:dyDescent="0.35"/>
  <cols>
    <col min="1" max="1" width="13.54296875" bestFit="1" customWidth="1"/>
    <col min="2" max="2" width="13.08984375" bestFit="1" customWidth="1"/>
    <col min="3" max="3" width="20.81640625" bestFit="1" customWidth="1"/>
    <col min="4" max="4" width="10.90625" bestFit="1" customWidth="1"/>
  </cols>
  <sheetData>
    <row r="1" spans="1:4" ht="16.5" x14ac:dyDescent="0.35">
      <c r="A1" s="4" t="s">
        <v>10</v>
      </c>
      <c r="B1" s="4" t="s">
        <v>3</v>
      </c>
      <c r="C1" s="4" t="s">
        <v>30</v>
      </c>
      <c r="D1" s="4" t="s">
        <v>29</v>
      </c>
    </row>
    <row r="2" spans="1:4" ht="16.5" x14ac:dyDescent="0.35">
      <c r="A2" s="4" t="s">
        <v>13</v>
      </c>
      <c r="B2" s="4">
        <v>85</v>
      </c>
      <c r="C2" s="4" t="s">
        <v>31</v>
      </c>
      <c r="D2" s="4" t="str">
        <f>IF(AND(B2&gt;=75,C2="Yes"),"Eligible","Not Eligible")</f>
        <v>Eligible</v>
      </c>
    </row>
    <row r="3" spans="1:4" ht="16.5" x14ac:dyDescent="0.35">
      <c r="A3" s="4" t="s">
        <v>14</v>
      </c>
      <c r="B3" s="4">
        <v>72</v>
      </c>
      <c r="C3" s="4" t="s">
        <v>31</v>
      </c>
      <c r="D3" s="4" t="str">
        <f t="shared" ref="D3:D5" si="0">IF(AND(B3&gt;=75,C3="Yes"),"Eligible","Not Eligible")</f>
        <v>Not Eligible</v>
      </c>
    </row>
    <row r="4" spans="1:4" ht="16.5" x14ac:dyDescent="0.35">
      <c r="A4" s="4" t="s">
        <v>15</v>
      </c>
      <c r="B4" s="4">
        <v>90</v>
      </c>
      <c r="C4" s="4" t="s">
        <v>32</v>
      </c>
      <c r="D4" s="4" t="str">
        <f t="shared" si="0"/>
        <v>Not Eligible</v>
      </c>
    </row>
    <row r="5" spans="1:4" ht="16.5" x14ac:dyDescent="0.35">
      <c r="A5" s="4" t="s">
        <v>16</v>
      </c>
      <c r="B5" s="4">
        <v>80</v>
      </c>
      <c r="C5" s="4" t="s">
        <v>31</v>
      </c>
      <c r="D5" s="4" t="str">
        <f t="shared" si="0"/>
        <v>Eligible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DC2AB-0C91-4CBC-94E6-21234F210336}">
  <dimension ref="A1:D5"/>
  <sheetViews>
    <sheetView workbookViewId="0">
      <selection activeCell="E3" sqref="E3"/>
    </sheetView>
  </sheetViews>
  <sheetFormatPr defaultRowHeight="14.5" x14ac:dyDescent="0.35"/>
  <cols>
    <col min="1" max="1" width="15.26953125" bestFit="1" customWidth="1"/>
    <col min="2" max="2" width="16.26953125" bestFit="1" customWidth="1"/>
    <col min="3" max="3" width="12" bestFit="1" customWidth="1"/>
    <col min="4" max="4" width="8.36328125" bestFit="1" customWidth="1"/>
  </cols>
  <sheetData>
    <row r="1" spans="1:4" ht="16.5" x14ac:dyDescent="0.35">
      <c r="A1" s="5" t="s">
        <v>33</v>
      </c>
      <c r="B1" s="5" t="s">
        <v>34</v>
      </c>
      <c r="C1" s="5" t="s">
        <v>35</v>
      </c>
      <c r="D1" s="5" t="s">
        <v>36</v>
      </c>
    </row>
    <row r="2" spans="1:4" ht="16.5" x14ac:dyDescent="0.35">
      <c r="A2" s="5" t="s">
        <v>37</v>
      </c>
      <c r="B2" s="5">
        <v>9000</v>
      </c>
      <c r="C2" s="5" t="s">
        <v>32</v>
      </c>
      <c r="D2" s="5" t="str">
        <f>IF(OR(B2 &gt;= 10000,C2 = "Yes"),"YES","NO")</f>
        <v>NO</v>
      </c>
    </row>
    <row r="3" spans="1:4" ht="16.5" x14ac:dyDescent="0.35">
      <c r="A3" s="6" t="s">
        <v>38</v>
      </c>
      <c r="B3" s="6">
        <v>12000</v>
      </c>
      <c r="C3" s="6" t="s">
        <v>32</v>
      </c>
      <c r="D3" s="5" t="str">
        <f t="shared" ref="D3:D5" si="0">IF(OR(B3 &gt;= 10000,C3 = "Yes"),"YES","NO")</f>
        <v>YES</v>
      </c>
    </row>
    <row r="4" spans="1:4" ht="16.5" x14ac:dyDescent="0.35">
      <c r="A4" s="5" t="s">
        <v>15</v>
      </c>
      <c r="B4" s="5">
        <v>4000</v>
      </c>
      <c r="C4" s="5" t="s">
        <v>31</v>
      </c>
      <c r="D4" s="5" t="str">
        <f t="shared" si="0"/>
        <v>YES</v>
      </c>
    </row>
    <row r="5" spans="1:4" ht="16.5" x14ac:dyDescent="0.35">
      <c r="A5" s="6" t="s">
        <v>39</v>
      </c>
      <c r="B5" s="6">
        <v>3000</v>
      </c>
      <c r="C5" s="6" t="s">
        <v>32</v>
      </c>
      <c r="D5" s="5" t="str">
        <f t="shared" si="0"/>
        <v>NO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F3068-D92D-48DC-990A-EF4E450CDF9E}">
  <dimension ref="A1:D5"/>
  <sheetViews>
    <sheetView workbookViewId="0">
      <selection activeCell="D2" sqref="D2"/>
    </sheetView>
  </sheetViews>
  <sheetFormatPr defaultRowHeight="14.5" x14ac:dyDescent="0.35"/>
  <cols>
    <col min="1" max="1" width="9" bestFit="1" customWidth="1"/>
    <col min="2" max="2" width="6.26953125" bestFit="1" customWidth="1"/>
    <col min="3" max="3" width="10.81640625" bestFit="1" customWidth="1"/>
    <col min="4" max="4" width="13.08984375" bestFit="1" customWidth="1"/>
  </cols>
  <sheetData>
    <row r="1" spans="1:4" ht="16.5" x14ac:dyDescent="0.35">
      <c r="A1" s="4" t="s">
        <v>40</v>
      </c>
      <c r="B1" s="4" t="s">
        <v>19</v>
      </c>
      <c r="C1" s="4" t="s">
        <v>41</v>
      </c>
      <c r="D1" s="4" t="s">
        <v>42</v>
      </c>
    </row>
    <row r="2" spans="1:4" ht="16.5" x14ac:dyDescent="0.35">
      <c r="A2" s="4" t="s">
        <v>21</v>
      </c>
      <c r="B2" s="4">
        <v>35000</v>
      </c>
      <c r="C2" s="4">
        <v>720</v>
      </c>
      <c r="D2" s="4" t="str">
        <f>IF(OR(B2&gt;=40000,C2&gt;=700),"Approved","Not Aprroved")</f>
        <v>Approved</v>
      </c>
    </row>
    <row r="3" spans="1:4" ht="16.5" x14ac:dyDescent="0.35">
      <c r="A3" s="4" t="s">
        <v>22</v>
      </c>
      <c r="B3" s="4">
        <v>25000</v>
      </c>
      <c r="C3" s="4">
        <v>680</v>
      </c>
      <c r="D3" s="4" t="str">
        <f t="shared" ref="D3:D5" si="0">IF(OR(B3&gt;=40000,C3&gt;=700),"Approved","Not Aprroved")</f>
        <v>Not Aprroved</v>
      </c>
    </row>
    <row r="4" spans="1:4" ht="16.5" x14ac:dyDescent="0.35">
      <c r="A4" s="4" t="s">
        <v>23</v>
      </c>
      <c r="B4" s="4">
        <v>50000</v>
      </c>
      <c r="C4" s="4">
        <v>650</v>
      </c>
      <c r="D4" s="4" t="str">
        <f t="shared" si="0"/>
        <v>Approved</v>
      </c>
    </row>
    <row r="5" spans="1:4" ht="16.5" x14ac:dyDescent="0.35">
      <c r="A5" s="4" t="s">
        <v>24</v>
      </c>
      <c r="B5" s="4">
        <v>20000</v>
      </c>
      <c r="C5" s="4">
        <v>600</v>
      </c>
      <c r="D5" s="4" t="str">
        <f t="shared" si="0"/>
        <v>Not Aprroved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4C521-914D-491D-8A7B-3F54E84377D7}">
  <dimension ref="A1:C5"/>
  <sheetViews>
    <sheetView workbookViewId="0">
      <selection activeCell="G11" sqref="G11"/>
    </sheetView>
  </sheetViews>
  <sheetFormatPr defaultRowHeight="14.5" x14ac:dyDescent="0.35"/>
  <sheetData>
    <row r="1" spans="1:3" ht="16.5" x14ac:dyDescent="0.35">
      <c r="A1" s="4" t="s">
        <v>26</v>
      </c>
      <c r="B1" s="4" t="s">
        <v>43</v>
      </c>
      <c r="C1" s="4" t="s">
        <v>44</v>
      </c>
    </row>
    <row r="2" spans="1:3" ht="16.5" x14ac:dyDescent="0.35">
      <c r="A2" s="4" t="s">
        <v>13</v>
      </c>
      <c r="B2" s="4" t="b">
        <v>1</v>
      </c>
      <c r="C2" s="4" t="str">
        <f>IF(NOT(B2),"Absent","Present")</f>
        <v>Present</v>
      </c>
    </row>
    <row r="3" spans="1:3" ht="16.5" x14ac:dyDescent="0.35">
      <c r="A3" s="4" t="s">
        <v>14</v>
      </c>
      <c r="B3" s="4" t="b">
        <v>0</v>
      </c>
      <c r="C3" s="4" t="str">
        <f t="shared" ref="C3:C5" si="0">IF(NOT(B3),"Absent","Present")</f>
        <v>Absent</v>
      </c>
    </row>
    <row r="4" spans="1:3" ht="16.5" x14ac:dyDescent="0.35">
      <c r="A4" s="4" t="s">
        <v>15</v>
      </c>
      <c r="B4" s="4" t="b">
        <v>1</v>
      </c>
      <c r="C4" s="4" t="str">
        <f t="shared" si="0"/>
        <v>Present</v>
      </c>
    </row>
    <row r="5" spans="1:3" ht="16.5" x14ac:dyDescent="0.35">
      <c r="A5" s="4" t="s">
        <v>16</v>
      </c>
      <c r="B5" s="4" t="b">
        <v>0</v>
      </c>
      <c r="C5" s="4" t="str">
        <f t="shared" si="0"/>
        <v>Absent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D1538-9AC8-4738-8F42-A7C737ACD876}">
  <dimension ref="A1:C5"/>
  <sheetViews>
    <sheetView workbookViewId="0">
      <selection activeCell="C2" sqref="C2"/>
    </sheetView>
  </sheetViews>
  <sheetFormatPr defaultRowHeight="14.5" x14ac:dyDescent="0.35"/>
  <cols>
    <col min="1" max="2" width="9.7265625" bestFit="1" customWidth="1"/>
    <col min="3" max="3" width="8.54296875" customWidth="1"/>
  </cols>
  <sheetData>
    <row r="1" spans="1:3" ht="16.5" x14ac:dyDescent="0.35">
      <c r="A1" s="4" t="s">
        <v>45</v>
      </c>
      <c r="B1" s="4" t="s">
        <v>46</v>
      </c>
      <c r="C1" s="4" t="s">
        <v>12</v>
      </c>
    </row>
    <row r="2" spans="1:3" ht="16.5" x14ac:dyDescent="0.35">
      <c r="A2" s="4">
        <v>10</v>
      </c>
      <c r="B2" s="4">
        <v>2</v>
      </c>
      <c r="C2" s="4">
        <f>IFERROR(A2/B2, "Invalid")</f>
        <v>5</v>
      </c>
    </row>
    <row r="3" spans="1:3" ht="16.5" x14ac:dyDescent="0.35">
      <c r="A3" s="4">
        <v>15</v>
      </c>
      <c r="B3" s="4">
        <v>0</v>
      </c>
      <c r="C3" s="4" t="str">
        <f t="shared" ref="C3:C5" si="0">IFERROR(A3/B3, "Invalid")</f>
        <v>Invalid</v>
      </c>
    </row>
    <row r="4" spans="1:3" ht="16.5" x14ac:dyDescent="0.35">
      <c r="A4" s="4">
        <v>20</v>
      </c>
      <c r="B4" s="4">
        <v>5</v>
      </c>
      <c r="C4" s="4">
        <f t="shared" si="0"/>
        <v>4</v>
      </c>
    </row>
    <row r="5" spans="1:3" ht="16.5" x14ac:dyDescent="0.35">
      <c r="A5" s="4">
        <v>8</v>
      </c>
      <c r="B5" s="4">
        <v>0</v>
      </c>
      <c r="C5" s="4" t="str">
        <f t="shared" si="0"/>
        <v>Invalid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ASDC5</dc:creator>
  <cp:lastModifiedBy>ASDC5</cp:lastModifiedBy>
  <dcterms:created xsi:type="dcterms:W3CDTF">2026-07-05T08:18:42Z</dcterms:created>
  <dcterms:modified xsi:type="dcterms:W3CDTF">2026-07-05T09:24:30Z</dcterms:modified>
</cp:coreProperties>
</file>