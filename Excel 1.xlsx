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OneDrive\dhani DA18\"/>
    </mc:Choice>
  </mc:AlternateContent>
  <xr:revisionPtr revIDLastSave="0" documentId="13_ncr:1_{4D518E5E-14B9-49A3-9FD7-ABC2AC2CB1A6}" xr6:coauthVersionLast="47" xr6:coauthVersionMax="47" xr10:uidLastSave="{00000000-0000-0000-0000-000000000000}"/>
  <bookViews>
    <workbookView xWindow="-110" yWindow="-110" windowWidth="19420" windowHeight="10300" xr2:uid="{3EE28D06-2098-4610-B7B1-BC66DAC9CA9F}"/>
  </bookViews>
  <sheets>
    <sheet name="Sheet2" sheetId="2" r:id="rId1"/>
    <sheet name="Sheet1" sheetId="1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6" l="1"/>
  <c r="L5" i="6"/>
  <c r="L4" i="6"/>
  <c r="L3" i="6"/>
  <c r="L2" i="6"/>
  <c r="I6" i="6"/>
  <c r="I5" i="6"/>
  <c r="I4" i="6"/>
  <c r="I3" i="6"/>
  <c r="I2" i="6"/>
  <c r="L2" i="5"/>
  <c r="I2" i="5"/>
  <c r="G3" i="5"/>
  <c r="F3" i="5"/>
  <c r="E3" i="5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3" i="3"/>
  <c r="G2" i="3"/>
  <c r="F2" i="3"/>
  <c r="C12" i="2"/>
  <c r="C17" i="2"/>
  <c r="C22" i="2"/>
  <c r="C7" i="2"/>
  <c r="D13" i="1"/>
  <c r="D19" i="1"/>
  <c r="D7" i="1"/>
</calcChain>
</file>

<file path=xl/sharedStrings.xml><?xml version="1.0" encoding="utf-8"?>
<sst xmlns="http://schemas.openxmlformats.org/spreadsheetml/2006/main" count="371" uniqueCount="112">
  <si>
    <t>Emlployee ID</t>
  </si>
  <si>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</si>
  <si>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</si>
  <si>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</si>
  <si>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</si>
  <si>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</si>
  <si>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</si>
  <si>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</si>
  <si>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</si>
  <si>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</si>
  <si>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</si>
  <si>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</si>
  <si>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</si>
  <si>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</si>
  <si>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</si>
  <si>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</si>
  <si>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</si>
  <si>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</si>
  <si>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</si>
  <si>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</si>
  <si>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</si>
  <si>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</si>
  <si>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</si>
  <si>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</si>
  <si>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</si>
  <si>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Amit Sharma</t>
  </si>
  <si>
    <t>Neha Verma</t>
  </si>
  <si>
    <t>Rahul Mehta</t>
  </si>
  <si>
    <t>Pooja Singh</t>
  </si>
  <si>
    <t>Ankit Patel</t>
  </si>
  <si>
    <t>HR</t>
  </si>
  <si>
    <t>IT</t>
  </si>
  <si>
    <t>Finance</t>
  </si>
  <si>
    <t>Sales</t>
  </si>
  <si>
    <t>Monthly Sales Report</t>
  </si>
  <si>
    <t>Product Name</t>
  </si>
  <si>
    <t>Region</t>
  </si>
  <si>
    <t>Sales Amount</t>
  </si>
  <si>
    <t>Salesperson</t>
  </si>
  <si>
    <t>Laptop Dell Inspiron 15</t>
  </si>
  <si>
    <t xml:space="preserve"> HP Wireless Mouse</t>
  </si>
  <si>
    <t>Samsung 24-inch Monitor</t>
  </si>
  <si>
    <t>Lenovo ThinkPad E14 Laptop</t>
  </si>
  <si>
    <t>Laptop Dell Inspiron 16</t>
  </si>
  <si>
    <t>Laptop Dell Inspiron 17</t>
  </si>
  <si>
    <t>Laptop Dell Inspiron 18</t>
  </si>
  <si>
    <t>Laptop Dell Inspiron 19</t>
  </si>
  <si>
    <t>North</t>
  </si>
  <si>
    <t>West</t>
  </si>
  <si>
    <t>East</t>
  </si>
  <si>
    <t>South</t>
  </si>
  <si>
    <t>Ramesh</t>
  </si>
  <si>
    <t>Sneha</t>
  </si>
  <si>
    <t>Arjun</t>
  </si>
  <si>
    <t>Kavita</t>
  </si>
  <si>
    <t>Roll No.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</si>
  <si>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</si>
  <si>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</si>
  <si>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</si>
  <si>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</si>
  <si>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</si>
  <si>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</si>
  <si>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</si>
  <si>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</si>
  <si>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</si>
  <si>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</si>
  <si>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</si>
  <si>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Invoice No.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</si>
  <si>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</si>
  <si>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</si>
  <si>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</si>
  <si>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</si>
  <si>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</si>
  <si>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</si>
  <si>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</si>
  <si>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</si>
  <si>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</si>
  <si>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</si>
  <si>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</si>
  <si>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</si>
  <si>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</si>
  <si>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</si>
  <si>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</si>
  <si>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</si>
  <si>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</si>
  <si>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</si>
  <si>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</si>
  <si>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</si>
  <si>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</si>
  <si>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 : 563000</t>
  </si>
  <si>
    <t>AVERAGE SALES : 28150</t>
  </si>
  <si>
    <t>HIGHEST SALE : 40500</t>
  </si>
  <si>
    <t>LOWEST SALE : 8000</t>
  </si>
  <si>
    <t>Employee Name</t>
  </si>
  <si>
    <t>Suresh</t>
  </si>
  <si>
    <t>Meena</t>
  </si>
  <si>
    <t>Karan</t>
  </si>
  <si>
    <t>Ritu</t>
  </si>
  <si>
    <t>Aman</t>
  </si>
  <si>
    <t>Neel</t>
  </si>
  <si>
    <t>Total Sales Per Department</t>
  </si>
  <si>
    <t>Average Salary</t>
  </si>
  <si>
    <t>Count Employee</t>
  </si>
  <si>
    <t>Day 1</t>
  </si>
  <si>
    <t>Day 2</t>
  </si>
  <si>
    <t>Day 3</t>
  </si>
  <si>
    <t>Day 4</t>
  </si>
  <si>
    <t>Day 5</t>
  </si>
  <si>
    <t>P</t>
  </si>
  <si>
    <t>A</t>
  </si>
  <si>
    <t>Count Present Days</t>
  </si>
  <si>
    <t>Count 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</si>
</sst>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1F23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10" applyNumberFormat="0" applyFill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3" borderId="1" xfId="2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Alignment="1"/>
    <xf numFmtId="14" fontId="0" fillId="0" borderId="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/>
  </cellXfs>
  <cellStyles count="3">
    <cellStyle name="Heading 2" xfId="2" builtinId="17"/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93ABA7B5-E977-43DA-BCC6-35B371187E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4462-CA0E-4964-AC97-AACDA92F874A}">
  <dimension ref="A1:D22"/>
  <sheetViews>
    <sheetView tabSelected="1" topLeftCell="A13" workbookViewId="0">
      <selection activeCell="G3" sqref="G3"/>
    </sheetView>
  </sheetViews>
  <sheetFormatPr defaultRowHeight="14.5" x14ac:dyDescent="0.35"/>
  <cols>
    <col min="1" max="1" width="24.81640625" bestFit="1" customWidth="1"/>
    <col min="2" max="2" width="6.453125" bestFit="1" customWidth="1"/>
    <col min="3" max="3" width="12.1796875" bestFit="1" customWidth="1"/>
    <col min="4" max="4" width="10.81640625" bestFit="1" customWidth="1"/>
  </cols>
  <sheetData>
    <row r="1" spans="1:4" x14ac:dyDescent="0.35">
      <c r="A1" s="13" t="s">
        <v>34</v>
      </c>
      <c r="B1" s="13"/>
      <c r="C1" s="13"/>
      <c r="D1" s="13"/>
    </row>
    <row r="2" spans="1:4" x14ac:dyDescent="0.35">
      <c r="A2" s="15" t="s">
        <v>35</v>
      </c>
      <c r="B2" s="15" t="s">
        <v>36</v>
      </c>
      <c r="C2" s="15" t="s">
        <v>37</v>
      </c>
      <c r="D2" s="15" t="s">
        <v>38</v>
      </c>
    </row>
    <row r="3" spans="1:4" x14ac:dyDescent="0.35">
      <c r="A3" s="14" t="s">
        <v>39</v>
      </c>
      <c r="B3" s="2" t="s">
        <v>47</v>
      </c>
      <c r="C3" s="3">
        <v>45000</v>
      </c>
      <c r="D3" s="2" t="s">
        <v>51</v>
      </c>
    </row>
    <row r="4" spans="1:4" x14ac:dyDescent="0.35">
      <c r="A4" s="14" t="s">
        <v>40</v>
      </c>
      <c r="B4" s="2" t="s">
        <v>48</v>
      </c>
      <c r="C4" s="3">
        <v>1200</v>
      </c>
      <c r="D4" s="2" t="s">
        <v>52</v>
      </c>
    </row>
    <row r="5" spans="1:4" x14ac:dyDescent="0.35">
      <c r="A5" s="14" t="s">
        <v>41</v>
      </c>
      <c r="B5" s="2" t="s">
        <v>49</v>
      </c>
      <c r="C5" s="3">
        <v>18000</v>
      </c>
      <c r="D5" s="2" t="s">
        <v>54</v>
      </c>
    </row>
    <row r="6" spans="1:4" x14ac:dyDescent="0.35">
      <c r="A6" s="14" t="s">
        <v>42</v>
      </c>
      <c r="B6" s="2" t="s">
        <v>50</v>
      </c>
      <c r="C6" s="3">
        <v>62000</v>
      </c>
      <c r="D6" s="2" t="s">
        <v>53</v>
      </c>
    </row>
    <row r="7" spans="1:4" x14ac:dyDescent="0.35">
      <c r="A7" s="14" t="s">
        <v>43</v>
      </c>
      <c r="B7" s="2" t="s">
        <v>47</v>
      </c>
      <c r="C7" s="3">
        <f ca="1">RANDBETWEEN(1000,70000)</f>
        <v>19925</v>
      </c>
      <c r="D7" s="2" t="s">
        <v>51</v>
      </c>
    </row>
    <row r="8" spans="1:4" x14ac:dyDescent="0.35">
      <c r="A8" s="14" t="s">
        <v>40</v>
      </c>
      <c r="B8" s="2" t="s">
        <v>48</v>
      </c>
      <c r="C8" s="3">
        <v>48500</v>
      </c>
      <c r="D8" s="2" t="s">
        <v>52</v>
      </c>
    </row>
    <row r="9" spans="1:4" x14ac:dyDescent="0.35">
      <c r="A9" s="14" t="s">
        <v>41</v>
      </c>
      <c r="B9" s="2" t="s">
        <v>49</v>
      </c>
      <c r="C9" s="3">
        <v>55280</v>
      </c>
      <c r="D9" s="2" t="s">
        <v>54</v>
      </c>
    </row>
    <row r="10" spans="1:4" x14ac:dyDescent="0.35">
      <c r="A10" s="14" t="s">
        <v>42</v>
      </c>
      <c r="B10" s="2" t="s">
        <v>50</v>
      </c>
      <c r="C10" s="3">
        <v>62060</v>
      </c>
      <c r="D10" s="2" t="s">
        <v>53</v>
      </c>
    </row>
    <row r="11" spans="1:4" x14ac:dyDescent="0.35">
      <c r="A11" s="14" t="s">
        <v>44</v>
      </c>
      <c r="B11" s="2" t="s">
        <v>47</v>
      </c>
      <c r="C11" s="3">
        <v>68840</v>
      </c>
      <c r="D11" s="2" t="s">
        <v>51</v>
      </c>
    </row>
    <row r="12" spans="1:4" x14ac:dyDescent="0.35">
      <c r="A12" s="14" t="s">
        <v>40</v>
      </c>
      <c r="B12" s="2" t="s">
        <v>48</v>
      </c>
      <c r="C12" s="3">
        <f t="shared" ref="C12:C22" ca="1" si="0">RANDBETWEEN(1000,70000)</f>
        <v>68415</v>
      </c>
      <c r="D12" s="2" t="s">
        <v>52</v>
      </c>
    </row>
    <row r="13" spans="1:4" x14ac:dyDescent="0.35">
      <c r="A13" s="14" t="s">
        <v>41</v>
      </c>
      <c r="B13" s="2" t="s">
        <v>49</v>
      </c>
      <c r="C13" s="3">
        <v>75620</v>
      </c>
      <c r="D13" s="2" t="s">
        <v>54</v>
      </c>
    </row>
    <row r="14" spans="1:4" x14ac:dyDescent="0.35">
      <c r="A14" s="14" t="s">
        <v>42</v>
      </c>
      <c r="B14" s="2" t="s">
        <v>50</v>
      </c>
      <c r="C14" s="3">
        <v>82400</v>
      </c>
      <c r="D14" s="2" t="s">
        <v>53</v>
      </c>
    </row>
    <row r="15" spans="1:4" x14ac:dyDescent="0.35">
      <c r="A15" s="14" t="s">
        <v>45</v>
      </c>
      <c r="B15" s="2" t="s">
        <v>47</v>
      </c>
      <c r="C15" s="3">
        <v>89180</v>
      </c>
      <c r="D15" s="2" t="s">
        <v>51</v>
      </c>
    </row>
    <row r="16" spans="1:4" x14ac:dyDescent="0.35">
      <c r="A16" s="14" t="s">
        <v>40</v>
      </c>
      <c r="B16" s="2" t="s">
        <v>48</v>
      </c>
      <c r="C16" s="3">
        <v>95960</v>
      </c>
      <c r="D16" s="2" t="s">
        <v>52</v>
      </c>
    </row>
    <row r="17" spans="1:4" x14ac:dyDescent="0.35">
      <c r="A17" s="14" t="s">
        <v>41</v>
      </c>
      <c r="B17" s="2" t="s">
        <v>49</v>
      </c>
      <c r="C17" s="3">
        <f t="shared" ref="C17:C22" ca="1" si="1">RANDBETWEEN(1000,70000)</f>
        <v>59387</v>
      </c>
      <c r="D17" s="2" t="s">
        <v>54</v>
      </c>
    </row>
    <row r="18" spans="1:4" x14ac:dyDescent="0.35">
      <c r="A18" s="14" t="s">
        <v>42</v>
      </c>
      <c r="B18" s="2" t="s">
        <v>50</v>
      </c>
      <c r="C18" s="3">
        <v>102740</v>
      </c>
      <c r="D18" s="2" t="s">
        <v>53</v>
      </c>
    </row>
    <row r="19" spans="1:4" x14ac:dyDescent="0.35">
      <c r="A19" s="14" t="s">
        <v>46</v>
      </c>
      <c r="B19" s="2" t="s">
        <v>47</v>
      </c>
      <c r="C19" s="3">
        <v>109520</v>
      </c>
      <c r="D19" s="2" t="s">
        <v>51</v>
      </c>
    </row>
    <row r="20" spans="1:4" x14ac:dyDescent="0.35">
      <c r="A20" s="14" t="s">
        <v>40</v>
      </c>
      <c r="B20" s="2" t="s">
        <v>48</v>
      </c>
      <c r="C20" s="3">
        <v>116300</v>
      </c>
      <c r="D20" s="2" t="s">
        <v>52</v>
      </c>
    </row>
    <row r="21" spans="1:4" x14ac:dyDescent="0.35">
      <c r="A21" s="14" t="s">
        <v>41</v>
      </c>
      <c r="B21" s="2" t="s">
        <v>49</v>
      </c>
      <c r="C21" s="3">
        <v>123080</v>
      </c>
      <c r="D21" s="2" t="s">
        <v>54</v>
      </c>
    </row>
    <row r="22" spans="1:4" x14ac:dyDescent="0.35">
      <c r="A22" s="14" t="s">
        <v>43</v>
      </c>
      <c r="B22" s="2" t="s">
        <v>50</v>
      </c>
      <c r="C22" s="3">
        <f t="shared" ref="C22" ca="1" si="2">RANDBETWEEN(1000,70000)</f>
        <v>63621</v>
      </c>
      <c r="D22" s="2" t="s">
        <v>53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2F2A-2733-4254-973A-CE945F4B05D3}">
  <dimension ref="A1:E21"/>
  <sheetViews>
    <sheetView topLeftCell="A7" zoomScaleNormal="100" workbookViewId="0">
      <selection activeCell="H8" sqref="H8"/>
    </sheetView>
  </sheetViews>
  <sheetFormatPr defaultRowHeight="14.5" x14ac:dyDescent="0.35"/>
  <cols>
    <col min="1" max="1" width="11.7265625" style="1" bestFit="1" customWidth="1"/>
    <col min="2" max="2" width="11.54296875" style="1" bestFit="1" customWidth="1"/>
    <col min="3" max="3" width="11.08984375" style="1" bestFit="1" customWidth="1"/>
    <col min="4" max="4" width="10.26953125" style="1" bestFit="1" customWidth="1"/>
    <col min="5" max="5" width="16.54296875" style="1" bestFit="1" customWidth="1"/>
    <col min="6" max="16384" width="8.7265625" style="1"/>
  </cols>
  <sheetData>
    <row r="1" spans="1:5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5">
      <c r="A2" s="7" t="s">
        <v>5</v>
      </c>
      <c r="B2" s="2" t="s">
        <v>25</v>
      </c>
      <c r="C2" s="2" t="s">
        <v>30</v>
      </c>
      <c r="D2" s="3">
        <v>32000</v>
      </c>
      <c r="E2" s="8">
        <v>44573</v>
      </c>
    </row>
    <row r="3" spans="1:5" x14ac:dyDescent="0.35">
      <c r="A3" s="7" t="s">
        <v>6</v>
      </c>
      <c r="B3" s="2" t="s">
        <v>26</v>
      </c>
      <c r="C3" s="2" t="s">
        <v>31</v>
      </c>
      <c r="D3" s="3">
        <v>45000</v>
      </c>
      <c r="E3" s="8">
        <v>44260</v>
      </c>
    </row>
    <row r="4" spans="1:5" x14ac:dyDescent="0.35">
      <c r="A4" s="7" t="s">
        <v>7</v>
      </c>
      <c r="B4" s="2" t="s">
        <v>27</v>
      </c>
      <c r="C4" s="2" t="s">
        <v>32</v>
      </c>
      <c r="D4" s="3">
        <v>38000</v>
      </c>
      <c r="E4" s="8">
        <v>44030</v>
      </c>
    </row>
    <row r="5" spans="1:5" x14ac:dyDescent="0.35">
      <c r="A5" s="7" t="s">
        <v>8</v>
      </c>
      <c r="B5" s="2" t="s">
        <v>28</v>
      </c>
      <c r="C5" s="2" t="s">
        <v>31</v>
      </c>
      <c r="D5" s="3">
        <v>52000</v>
      </c>
      <c r="E5" s="8">
        <v>43779</v>
      </c>
    </row>
    <row r="6" spans="1:5" x14ac:dyDescent="0.35">
      <c r="A6" s="7" t="s">
        <v>9</v>
      </c>
      <c r="B6" s="2" t="s">
        <v>29</v>
      </c>
      <c r="C6" s="2" t="s">
        <v>33</v>
      </c>
      <c r="D6" s="3">
        <v>32000</v>
      </c>
      <c r="E6" s="8">
        <v>45102</v>
      </c>
    </row>
    <row r="7" spans="1:5" x14ac:dyDescent="0.35">
      <c r="A7" s="7" t="s">
        <v>10</v>
      </c>
      <c r="B7" s="2" t="s">
        <v>25</v>
      </c>
      <c r="C7" s="2" t="s">
        <v>30</v>
      </c>
      <c r="D7" s="3">
        <f ca="1">RANDBETWEEN(20000,90000)</f>
        <v>65721</v>
      </c>
      <c r="E7" s="8">
        <v>44573</v>
      </c>
    </row>
    <row r="8" spans="1:5" x14ac:dyDescent="0.35">
      <c r="A8" s="7" t="s">
        <v>11</v>
      </c>
      <c r="B8" s="2" t="s">
        <v>26</v>
      </c>
      <c r="C8" s="2" t="s">
        <v>31</v>
      </c>
      <c r="D8" s="3">
        <v>41900</v>
      </c>
      <c r="E8" s="8">
        <v>44260</v>
      </c>
    </row>
    <row r="9" spans="1:5" x14ac:dyDescent="0.35">
      <c r="A9" s="7" t="s">
        <v>12</v>
      </c>
      <c r="B9" s="2" t="s">
        <v>27</v>
      </c>
      <c r="C9" s="2" t="s">
        <v>32</v>
      </c>
      <c r="D9" s="3">
        <v>42600</v>
      </c>
      <c r="E9" s="8">
        <v>44030</v>
      </c>
    </row>
    <row r="10" spans="1:5" x14ac:dyDescent="0.35">
      <c r="A10" s="7" t="s">
        <v>13</v>
      </c>
      <c r="B10" s="2" t="s">
        <v>28</v>
      </c>
      <c r="C10" s="2" t="s">
        <v>31</v>
      </c>
      <c r="D10" s="3">
        <v>43300</v>
      </c>
      <c r="E10" s="8">
        <v>43779</v>
      </c>
    </row>
    <row r="11" spans="1:5" x14ac:dyDescent="0.35">
      <c r="A11" s="7" t="s">
        <v>14</v>
      </c>
      <c r="B11" s="2" t="s">
        <v>29</v>
      </c>
      <c r="C11" s="2" t="s">
        <v>33</v>
      </c>
      <c r="D11" s="3">
        <v>44000</v>
      </c>
      <c r="E11" s="8">
        <v>45102</v>
      </c>
    </row>
    <row r="12" spans="1:5" x14ac:dyDescent="0.35">
      <c r="A12" s="7" t="s">
        <v>15</v>
      </c>
      <c r="B12" s="2" t="s">
        <v>25</v>
      </c>
      <c r="C12" s="2" t="s">
        <v>30</v>
      </c>
      <c r="D12" s="3">
        <v>44700</v>
      </c>
      <c r="E12" s="8">
        <v>44573</v>
      </c>
    </row>
    <row r="13" spans="1:5" x14ac:dyDescent="0.35">
      <c r="A13" s="7" t="s">
        <v>16</v>
      </c>
      <c r="B13" s="2" t="s">
        <v>26</v>
      </c>
      <c r="C13" s="2" t="s">
        <v>31</v>
      </c>
      <c r="D13" s="3">
        <f t="shared" ref="D13" ca="1" si="0">RANDBETWEEN(20000,90000)</f>
        <v>62461</v>
      </c>
      <c r="E13" s="8">
        <v>44260</v>
      </c>
    </row>
    <row r="14" spans="1:5" x14ac:dyDescent="0.35">
      <c r="A14" s="7" t="s">
        <v>17</v>
      </c>
      <c r="B14" s="2" t="s">
        <v>27</v>
      </c>
      <c r="C14" s="2" t="s">
        <v>32</v>
      </c>
      <c r="D14" s="3">
        <v>45400</v>
      </c>
      <c r="E14" s="8">
        <v>44030</v>
      </c>
    </row>
    <row r="15" spans="1:5" x14ac:dyDescent="0.35">
      <c r="A15" s="7" t="s">
        <v>18</v>
      </c>
      <c r="B15" s="2" t="s">
        <v>28</v>
      </c>
      <c r="C15" s="2" t="s">
        <v>31</v>
      </c>
      <c r="D15" s="3">
        <v>46100</v>
      </c>
      <c r="E15" s="8">
        <v>43779</v>
      </c>
    </row>
    <row r="16" spans="1:5" x14ac:dyDescent="0.35">
      <c r="A16" s="7" t="s">
        <v>19</v>
      </c>
      <c r="B16" s="2" t="s">
        <v>29</v>
      </c>
      <c r="C16" s="2" t="s">
        <v>33</v>
      </c>
      <c r="D16" s="3">
        <v>46800</v>
      </c>
      <c r="E16" s="8">
        <v>45102</v>
      </c>
    </row>
    <row r="17" spans="1:5" x14ac:dyDescent="0.35">
      <c r="A17" s="7" t="s">
        <v>20</v>
      </c>
      <c r="B17" s="2" t="s">
        <v>25</v>
      </c>
      <c r="C17" s="2" t="s">
        <v>30</v>
      </c>
      <c r="D17" s="3">
        <v>47500</v>
      </c>
      <c r="E17" s="8">
        <v>44573</v>
      </c>
    </row>
    <row r="18" spans="1:5" x14ac:dyDescent="0.35">
      <c r="A18" s="7" t="s">
        <v>21</v>
      </c>
      <c r="B18" s="2" t="s">
        <v>26</v>
      </c>
      <c r="C18" s="2" t="s">
        <v>31</v>
      </c>
      <c r="D18" s="3">
        <v>48200</v>
      </c>
      <c r="E18" s="8">
        <v>44260</v>
      </c>
    </row>
    <row r="19" spans="1:5" x14ac:dyDescent="0.35">
      <c r="A19" s="7" t="s">
        <v>22</v>
      </c>
      <c r="B19" s="2" t="s">
        <v>27</v>
      </c>
      <c r="C19" s="2" t="s">
        <v>32</v>
      </c>
      <c r="D19" s="3">
        <f t="shared" ref="D19" ca="1" si="1">RANDBETWEEN(20000,90000)</f>
        <v>46129</v>
      </c>
      <c r="E19" s="8">
        <v>44030</v>
      </c>
    </row>
    <row r="20" spans="1:5" x14ac:dyDescent="0.35">
      <c r="A20" s="7" t="s">
        <v>23</v>
      </c>
      <c r="B20" s="2" t="s">
        <v>28</v>
      </c>
      <c r="C20" s="2" t="s">
        <v>31</v>
      </c>
      <c r="D20" s="3">
        <v>48900</v>
      </c>
      <c r="E20" s="8">
        <v>43779</v>
      </c>
    </row>
    <row r="21" spans="1:5" ht="15" thickBot="1" x14ac:dyDescent="0.4">
      <c r="A21" s="9" t="s">
        <v>24</v>
      </c>
      <c r="B21" s="10" t="s">
        <v>29</v>
      </c>
      <c r="C21" s="10" t="s">
        <v>33</v>
      </c>
      <c r="D21" s="11">
        <v>49600</v>
      </c>
      <c r="E21" s="12">
        <v>45102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1219-3ABE-4965-AD94-EE5F8F6A8090}">
  <dimension ref="A1:G21"/>
  <sheetViews>
    <sheetView topLeftCell="A16" workbookViewId="0">
      <selection activeCell="I4" sqref="I4"/>
    </sheetView>
  </sheetViews>
  <sheetFormatPr defaultRowHeight="14.5" x14ac:dyDescent="0.35"/>
  <cols>
    <col min="1" max="1" width="8.7265625" bestFit="1" customWidth="1"/>
    <col min="2" max="2" width="15.1796875" bestFit="1" customWidth="1"/>
    <col min="3" max="3" width="7.26953125" bestFit="1" customWidth="1"/>
    <col min="4" max="4" width="8.26953125" bestFit="1" customWidth="1"/>
    <col min="5" max="5" width="7.81640625" bestFit="1" customWidth="1"/>
    <col min="6" max="6" width="6" bestFit="1" customWidth="1"/>
    <col min="7" max="7" width="12" bestFit="1" customWidth="1"/>
  </cols>
  <sheetData>
    <row r="1" spans="1:7" ht="17" x14ac:dyDescent="0.4">
      <c r="A1" s="16" t="s">
        <v>55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66</v>
      </c>
      <c r="G1" s="16" t="s">
        <v>60</v>
      </c>
    </row>
    <row r="2" spans="1:7" x14ac:dyDescent="0.35">
      <c r="A2" s="2">
        <v>1</v>
      </c>
      <c r="B2" s="2" t="s">
        <v>61</v>
      </c>
      <c r="C2" s="2">
        <v>78</v>
      </c>
      <c r="D2" s="2">
        <v>82</v>
      </c>
      <c r="E2" s="2">
        <v>74</v>
      </c>
      <c r="F2" s="2">
        <f>SUM(C2:E2)</f>
        <v>234</v>
      </c>
      <c r="G2" s="17">
        <f>F2/300</f>
        <v>0.78</v>
      </c>
    </row>
    <row r="3" spans="1:7" x14ac:dyDescent="0.35">
      <c r="A3" s="2">
        <v>2</v>
      </c>
      <c r="B3" s="2" t="s">
        <v>62</v>
      </c>
      <c r="C3" s="2">
        <v>65</v>
      </c>
      <c r="D3" s="2">
        <v>70</v>
      </c>
      <c r="E3" s="2">
        <v>68</v>
      </c>
      <c r="F3" s="2">
        <f>SUM(C3:E3)</f>
        <v>203</v>
      </c>
      <c r="G3" s="17">
        <f>203/300</f>
        <v>0.67666666666666664</v>
      </c>
    </row>
    <row r="4" spans="1:7" x14ac:dyDescent="0.35">
      <c r="A4" s="2">
        <v>3</v>
      </c>
      <c r="B4" s="2" t="s">
        <v>63</v>
      </c>
      <c r="C4" s="2">
        <v>90</v>
      </c>
      <c r="D4" s="2">
        <v>88</v>
      </c>
      <c r="E4" s="2">
        <v>92</v>
      </c>
      <c r="F4" s="2">
        <f t="shared" ref="F4:F21" si="0">SUM(C4:E4)</f>
        <v>270</v>
      </c>
      <c r="G4" s="17">
        <f t="shared" ref="G4" si="1">F4/300</f>
        <v>0.9</v>
      </c>
    </row>
    <row r="5" spans="1:7" x14ac:dyDescent="0.35">
      <c r="A5" s="2">
        <v>4</v>
      </c>
      <c r="B5" s="2" t="s">
        <v>65</v>
      </c>
      <c r="C5" s="2">
        <v>35</v>
      </c>
      <c r="D5" s="2">
        <v>40</v>
      </c>
      <c r="E5" s="2">
        <v>38</v>
      </c>
      <c r="F5" s="2">
        <f t="shared" si="0"/>
        <v>113</v>
      </c>
      <c r="G5" s="17">
        <f t="shared" ref="G5:G21" si="2">203/300</f>
        <v>0.67666666666666664</v>
      </c>
    </row>
    <row r="6" spans="1:7" x14ac:dyDescent="0.35">
      <c r="A6" s="2">
        <v>5</v>
      </c>
      <c r="B6" s="2" t="s">
        <v>61</v>
      </c>
      <c r="C6" s="2">
        <v>55</v>
      </c>
      <c r="D6" s="2">
        <v>60</v>
      </c>
      <c r="E6" s="2">
        <v>58</v>
      </c>
      <c r="F6" s="2">
        <f t="shared" si="0"/>
        <v>173</v>
      </c>
      <c r="G6" s="17">
        <f t="shared" ref="G6" si="3">F6/300</f>
        <v>0.57666666666666666</v>
      </c>
    </row>
    <row r="7" spans="1:7" x14ac:dyDescent="0.35">
      <c r="A7" s="2">
        <v>6</v>
      </c>
      <c r="B7" s="2" t="s">
        <v>62</v>
      </c>
      <c r="C7" s="2">
        <v>78</v>
      </c>
      <c r="D7" s="2">
        <v>82</v>
      </c>
      <c r="E7" s="2">
        <v>74</v>
      </c>
      <c r="F7" s="2">
        <f t="shared" si="0"/>
        <v>234</v>
      </c>
      <c r="G7" s="17">
        <f t="shared" ref="G7:G21" si="4">203/300</f>
        <v>0.67666666666666664</v>
      </c>
    </row>
    <row r="8" spans="1:7" x14ac:dyDescent="0.35">
      <c r="A8" s="2">
        <v>7</v>
      </c>
      <c r="B8" s="2" t="s">
        <v>63</v>
      </c>
      <c r="C8" s="2">
        <v>65</v>
      </c>
      <c r="D8" s="2">
        <v>70</v>
      </c>
      <c r="E8" s="2">
        <v>68</v>
      </c>
      <c r="F8" s="2">
        <f t="shared" si="0"/>
        <v>203</v>
      </c>
      <c r="G8" s="17">
        <f t="shared" ref="G8" si="5">F8/300</f>
        <v>0.67666666666666664</v>
      </c>
    </row>
    <row r="9" spans="1:7" x14ac:dyDescent="0.35">
      <c r="A9" s="2">
        <v>8</v>
      </c>
      <c r="B9" s="2" t="s">
        <v>65</v>
      </c>
      <c r="C9" s="2">
        <v>90</v>
      </c>
      <c r="D9" s="2">
        <v>88</v>
      </c>
      <c r="E9" s="2">
        <v>92</v>
      </c>
      <c r="F9" s="2">
        <f t="shared" si="0"/>
        <v>270</v>
      </c>
      <c r="G9" s="17">
        <f t="shared" ref="G9:G21" si="6">203/300</f>
        <v>0.67666666666666664</v>
      </c>
    </row>
    <row r="10" spans="1:7" x14ac:dyDescent="0.35">
      <c r="A10" s="2">
        <v>9</v>
      </c>
      <c r="B10" s="2" t="s">
        <v>61</v>
      </c>
      <c r="C10" s="2">
        <v>35</v>
      </c>
      <c r="D10" s="2">
        <v>40</v>
      </c>
      <c r="E10" s="2">
        <v>38</v>
      </c>
      <c r="F10" s="2">
        <f t="shared" si="0"/>
        <v>113</v>
      </c>
      <c r="G10" s="17">
        <f t="shared" ref="G10" si="7">F10/300</f>
        <v>0.37666666666666665</v>
      </c>
    </row>
    <row r="11" spans="1:7" x14ac:dyDescent="0.35">
      <c r="A11" s="2">
        <v>10</v>
      </c>
      <c r="B11" s="2" t="s">
        <v>62</v>
      </c>
      <c r="C11" s="2">
        <v>55</v>
      </c>
      <c r="D11" s="2">
        <v>60</v>
      </c>
      <c r="E11" s="2">
        <v>58</v>
      </c>
      <c r="F11" s="2">
        <f t="shared" si="0"/>
        <v>173</v>
      </c>
      <c r="G11" s="17">
        <f t="shared" ref="G11:G21" si="8">203/300</f>
        <v>0.67666666666666664</v>
      </c>
    </row>
    <row r="12" spans="1:7" x14ac:dyDescent="0.35">
      <c r="A12" s="2">
        <v>11</v>
      </c>
      <c r="B12" s="2" t="s">
        <v>63</v>
      </c>
      <c r="C12" s="2">
        <v>78</v>
      </c>
      <c r="D12" s="2">
        <v>82</v>
      </c>
      <c r="E12" s="2">
        <v>74</v>
      </c>
      <c r="F12" s="2">
        <f t="shared" si="0"/>
        <v>234</v>
      </c>
      <c r="G12" s="17">
        <f t="shared" ref="G12" si="9">F12/300</f>
        <v>0.78</v>
      </c>
    </row>
    <row r="13" spans="1:7" x14ac:dyDescent="0.35">
      <c r="A13" s="2">
        <v>12</v>
      </c>
      <c r="B13" s="2" t="s">
        <v>65</v>
      </c>
      <c r="C13" s="2">
        <v>65</v>
      </c>
      <c r="D13" s="2">
        <v>70</v>
      </c>
      <c r="E13" s="2">
        <v>68</v>
      </c>
      <c r="F13" s="2">
        <f t="shared" si="0"/>
        <v>203</v>
      </c>
      <c r="G13" s="17">
        <f t="shared" ref="G13:G21" si="10">203/300</f>
        <v>0.67666666666666664</v>
      </c>
    </row>
    <row r="14" spans="1:7" x14ac:dyDescent="0.35">
      <c r="A14" s="2">
        <v>13</v>
      </c>
      <c r="B14" s="2" t="s">
        <v>61</v>
      </c>
      <c r="C14" s="2">
        <v>90</v>
      </c>
      <c r="D14" s="2">
        <v>88</v>
      </c>
      <c r="E14" s="2">
        <v>92</v>
      </c>
      <c r="F14" s="2">
        <f t="shared" si="0"/>
        <v>270</v>
      </c>
      <c r="G14" s="17">
        <f t="shared" ref="G14" si="11">F14/300</f>
        <v>0.9</v>
      </c>
    </row>
    <row r="15" spans="1:7" x14ac:dyDescent="0.35">
      <c r="A15" s="2">
        <v>14</v>
      </c>
      <c r="B15" s="2" t="s">
        <v>62</v>
      </c>
      <c r="C15" s="2">
        <v>35</v>
      </c>
      <c r="D15" s="2">
        <v>40</v>
      </c>
      <c r="E15" s="2">
        <v>38</v>
      </c>
      <c r="F15" s="2">
        <f t="shared" si="0"/>
        <v>113</v>
      </c>
      <c r="G15" s="17">
        <f t="shared" ref="G15:G21" si="12">203/300</f>
        <v>0.67666666666666664</v>
      </c>
    </row>
    <row r="16" spans="1:7" x14ac:dyDescent="0.35">
      <c r="A16" s="2">
        <v>15</v>
      </c>
      <c r="B16" s="2" t="s">
        <v>63</v>
      </c>
      <c r="C16" s="2">
        <v>55</v>
      </c>
      <c r="D16" s="2">
        <v>60</v>
      </c>
      <c r="E16" s="2">
        <v>58</v>
      </c>
      <c r="F16" s="2">
        <f t="shared" si="0"/>
        <v>173</v>
      </c>
      <c r="G16" s="17">
        <f t="shared" ref="G16" si="13">F16/300</f>
        <v>0.57666666666666666</v>
      </c>
    </row>
    <row r="17" spans="1:7" x14ac:dyDescent="0.35">
      <c r="A17" s="2">
        <v>16</v>
      </c>
      <c r="B17" s="2" t="s">
        <v>65</v>
      </c>
      <c r="C17" s="2">
        <v>78</v>
      </c>
      <c r="D17" s="2">
        <v>82</v>
      </c>
      <c r="E17" s="2">
        <v>74</v>
      </c>
      <c r="F17" s="2">
        <f t="shared" si="0"/>
        <v>234</v>
      </c>
      <c r="G17" s="17">
        <f t="shared" ref="G17:G21" si="14">203/300</f>
        <v>0.67666666666666664</v>
      </c>
    </row>
    <row r="18" spans="1:7" x14ac:dyDescent="0.35">
      <c r="A18" s="2">
        <v>17</v>
      </c>
      <c r="B18" s="2" t="s">
        <v>61</v>
      </c>
      <c r="C18" s="2">
        <v>65</v>
      </c>
      <c r="D18" s="2">
        <v>70</v>
      </c>
      <c r="E18" s="2">
        <v>68</v>
      </c>
      <c r="F18" s="2">
        <f t="shared" si="0"/>
        <v>203</v>
      </c>
      <c r="G18" s="17">
        <f t="shared" ref="G18" si="15">F18/300</f>
        <v>0.67666666666666664</v>
      </c>
    </row>
    <row r="19" spans="1:7" x14ac:dyDescent="0.35">
      <c r="A19" s="2">
        <v>18</v>
      </c>
      <c r="B19" s="2" t="s">
        <v>62</v>
      </c>
      <c r="C19" s="2">
        <v>90</v>
      </c>
      <c r="D19" s="2">
        <v>88</v>
      </c>
      <c r="E19" s="2">
        <v>92</v>
      </c>
      <c r="F19" s="2">
        <f t="shared" si="0"/>
        <v>270</v>
      </c>
      <c r="G19" s="17">
        <f t="shared" ref="G19:G21" si="16">203/300</f>
        <v>0.67666666666666664</v>
      </c>
    </row>
    <row r="20" spans="1:7" x14ac:dyDescent="0.35">
      <c r="A20" s="2">
        <v>19</v>
      </c>
      <c r="B20" s="2" t="s">
        <v>63</v>
      </c>
      <c r="C20" s="2">
        <v>35</v>
      </c>
      <c r="D20" s="2">
        <v>40</v>
      </c>
      <c r="E20" s="2">
        <v>38</v>
      </c>
      <c r="F20" s="2">
        <f t="shared" si="0"/>
        <v>113</v>
      </c>
      <c r="G20" s="17">
        <f t="shared" ref="G20" si="17">F20/300</f>
        <v>0.37666666666666665</v>
      </c>
    </row>
    <row r="21" spans="1:7" x14ac:dyDescent="0.35">
      <c r="A21" s="2">
        <v>20</v>
      </c>
      <c r="B21" s="2" t="s">
        <v>65</v>
      </c>
      <c r="C21" s="2">
        <v>55</v>
      </c>
      <c r="D21" s="2">
        <v>60</v>
      </c>
      <c r="E21" s="2">
        <v>58</v>
      </c>
      <c r="F21" s="2">
        <f t="shared" si="0"/>
        <v>173</v>
      </c>
      <c r="G21" s="17">
        <f t="shared" ref="G21" si="18">203/300</f>
        <v>0.67666666666666664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BBCE-4407-4802-88C2-CC5DD473BACA}">
  <dimension ref="A1:C25"/>
  <sheetViews>
    <sheetView workbookViewId="0">
      <selection activeCell="D25" sqref="D25"/>
    </sheetView>
  </sheetViews>
  <sheetFormatPr defaultRowHeight="14.5" x14ac:dyDescent="0.35"/>
  <cols>
    <col min="1" max="2" width="10.08984375" bestFit="1" customWidth="1"/>
    <col min="3" max="3" width="12.1796875" bestFit="1" customWidth="1"/>
  </cols>
  <sheetData>
    <row r="1" spans="1:3" x14ac:dyDescent="0.35">
      <c r="A1" s="2" t="s">
        <v>67</v>
      </c>
      <c r="B1" s="2" t="s">
        <v>68</v>
      </c>
      <c r="C1" s="2" t="s">
        <v>37</v>
      </c>
    </row>
    <row r="2" spans="1:3" x14ac:dyDescent="0.35">
      <c r="A2" s="2" t="s">
        <v>69</v>
      </c>
      <c r="B2" s="19">
        <v>45292</v>
      </c>
      <c r="C2" s="2">
        <v>12000</v>
      </c>
    </row>
    <row r="3" spans="1:3" x14ac:dyDescent="0.35">
      <c r="A3" s="2" t="s">
        <v>70</v>
      </c>
      <c r="B3" s="19">
        <v>45294</v>
      </c>
      <c r="C3" s="2">
        <v>25000</v>
      </c>
    </row>
    <row r="4" spans="1:3" x14ac:dyDescent="0.35">
      <c r="A4" s="2" t="s">
        <v>71</v>
      </c>
      <c r="B4" s="19">
        <v>45296</v>
      </c>
      <c r="C4" s="2">
        <v>8000</v>
      </c>
    </row>
    <row r="5" spans="1:3" x14ac:dyDescent="0.35">
      <c r="A5" s="2" t="s">
        <v>72</v>
      </c>
      <c r="B5" s="19">
        <v>45298</v>
      </c>
      <c r="C5" s="2">
        <v>32000</v>
      </c>
    </row>
    <row r="6" spans="1:3" x14ac:dyDescent="0.35">
      <c r="A6" s="2" t="s">
        <v>73</v>
      </c>
      <c r="B6" s="19">
        <v>45300</v>
      </c>
      <c r="C6" s="2">
        <v>15000</v>
      </c>
    </row>
    <row r="7" spans="1:3" x14ac:dyDescent="0.35">
      <c r="A7" s="2" t="s">
        <v>74</v>
      </c>
      <c r="B7" s="19">
        <v>45302</v>
      </c>
      <c r="C7" s="2">
        <v>22300</v>
      </c>
    </row>
    <row r="8" spans="1:3" x14ac:dyDescent="0.35">
      <c r="A8" s="2" t="s">
        <v>75</v>
      </c>
      <c r="B8" s="19">
        <v>45304</v>
      </c>
      <c r="C8" s="2">
        <v>23600</v>
      </c>
    </row>
    <row r="9" spans="1:3" x14ac:dyDescent="0.35">
      <c r="A9" s="2" t="s">
        <v>76</v>
      </c>
      <c r="B9" s="19">
        <v>45306</v>
      </c>
      <c r="C9" s="2">
        <v>24900</v>
      </c>
    </row>
    <row r="10" spans="1:3" x14ac:dyDescent="0.35">
      <c r="A10" s="2" t="s">
        <v>77</v>
      </c>
      <c r="B10" s="19">
        <v>45308</v>
      </c>
      <c r="C10" s="2">
        <v>26200</v>
      </c>
    </row>
    <row r="11" spans="1:3" x14ac:dyDescent="0.35">
      <c r="A11" s="2" t="s">
        <v>78</v>
      </c>
      <c r="B11" s="19">
        <v>45310</v>
      </c>
      <c r="C11" s="2">
        <v>27500</v>
      </c>
    </row>
    <row r="12" spans="1:3" x14ac:dyDescent="0.35">
      <c r="A12" s="2" t="s">
        <v>79</v>
      </c>
      <c r="B12" s="19">
        <v>45312</v>
      </c>
      <c r="C12" s="2">
        <v>28800</v>
      </c>
    </row>
    <row r="13" spans="1:3" x14ac:dyDescent="0.35">
      <c r="A13" s="2" t="s">
        <v>80</v>
      </c>
      <c r="B13" s="19">
        <v>45314</v>
      </c>
      <c r="C13" s="2">
        <v>30100</v>
      </c>
    </row>
    <row r="14" spans="1:3" x14ac:dyDescent="0.35">
      <c r="A14" s="2" t="s">
        <v>81</v>
      </c>
      <c r="B14" s="19">
        <v>45316</v>
      </c>
      <c r="C14" s="2">
        <v>31400</v>
      </c>
    </row>
    <row r="15" spans="1:3" x14ac:dyDescent="0.35">
      <c r="A15" s="2" t="s">
        <v>82</v>
      </c>
      <c r="B15" s="19">
        <v>45318</v>
      </c>
      <c r="C15" s="2">
        <v>32700</v>
      </c>
    </row>
    <row r="16" spans="1:3" x14ac:dyDescent="0.35">
      <c r="A16" s="2" t="s">
        <v>83</v>
      </c>
      <c r="B16" s="19">
        <v>45320</v>
      </c>
      <c r="C16" s="2">
        <v>34000</v>
      </c>
    </row>
    <row r="17" spans="1:3" x14ac:dyDescent="0.35">
      <c r="A17" s="2" t="s">
        <v>84</v>
      </c>
      <c r="B17" s="19">
        <v>45322</v>
      </c>
      <c r="C17" s="2">
        <v>35300</v>
      </c>
    </row>
    <row r="18" spans="1:3" x14ac:dyDescent="0.35">
      <c r="A18" s="2" t="s">
        <v>85</v>
      </c>
      <c r="B18" s="19">
        <v>45324</v>
      </c>
      <c r="C18" s="2">
        <v>36600</v>
      </c>
    </row>
    <row r="19" spans="1:3" x14ac:dyDescent="0.35">
      <c r="A19" s="2" t="s">
        <v>86</v>
      </c>
      <c r="B19" s="19">
        <v>45326</v>
      </c>
      <c r="C19" s="2">
        <v>37900</v>
      </c>
    </row>
    <row r="20" spans="1:3" x14ac:dyDescent="0.35">
      <c r="A20" s="2" t="s">
        <v>87</v>
      </c>
      <c r="B20" s="19">
        <v>45328</v>
      </c>
      <c r="C20" s="2">
        <v>39200</v>
      </c>
    </row>
    <row r="21" spans="1:3" ht="15" thickBot="1" x14ac:dyDescent="0.4">
      <c r="A21" s="20" t="s">
        <v>88</v>
      </c>
      <c r="B21" s="21">
        <v>45330</v>
      </c>
      <c r="C21" s="20">
        <v>40500</v>
      </c>
    </row>
    <row r="22" spans="1:3" x14ac:dyDescent="0.35">
      <c r="A22" s="22" t="s">
        <v>89</v>
      </c>
      <c r="B22" s="23"/>
      <c r="C22" s="24"/>
    </row>
    <row r="23" spans="1:3" x14ac:dyDescent="0.35">
      <c r="A23" s="25" t="s">
        <v>90</v>
      </c>
      <c r="B23" s="26"/>
      <c r="C23" s="27"/>
    </row>
    <row r="24" spans="1:3" x14ac:dyDescent="0.35">
      <c r="A24" s="25" t="s">
        <v>91</v>
      </c>
      <c r="B24" s="26"/>
      <c r="C24" s="27"/>
    </row>
    <row r="25" spans="1:3" ht="15" thickBot="1" x14ac:dyDescent="0.4">
      <c r="A25" s="28" t="s">
        <v>92</v>
      </c>
      <c r="B25" s="29"/>
      <c r="C25" s="30"/>
    </row>
  </sheetData>
  <mergeCells count="4">
    <mergeCell ref="A22:C22"/>
    <mergeCell ref="A23:C23"/>
    <mergeCell ref="A24:C24"/>
    <mergeCell ref="A25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3B30-3AA7-46AE-9F3F-63E8AE9D6851}">
  <dimension ref="A1:M21"/>
  <sheetViews>
    <sheetView workbookViewId="0">
      <selection activeCell="L6" sqref="L6"/>
    </sheetView>
  </sheetViews>
  <sheetFormatPr defaultRowHeight="14.5" x14ac:dyDescent="0.35"/>
  <cols>
    <col min="1" max="1" width="14.453125" bestFit="1" customWidth="1"/>
    <col min="2" max="2" width="10.90625" bestFit="1" customWidth="1"/>
    <col min="3" max="3" width="11.81640625" bestFit="1" customWidth="1"/>
    <col min="4" max="5" width="6.81640625" bestFit="1" customWidth="1"/>
    <col min="6" max="6" width="11.453125" customWidth="1"/>
  </cols>
  <sheetData>
    <row r="1" spans="1:13" x14ac:dyDescent="0.35">
      <c r="A1" s="2" t="s">
        <v>93</v>
      </c>
      <c r="B1" s="2" t="s">
        <v>2</v>
      </c>
      <c r="C1" s="2" t="s">
        <v>3</v>
      </c>
      <c r="D1" s="18"/>
      <c r="E1" s="31" t="s">
        <v>100</v>
      </c>
      <c r="F1" s="31"/>
      <c r="G1" s="31"/>
      <c r="I1" s="31" t="s">
        <v>101</v>
      </c>
      <c r="J1" s="31"/>
      <c r="L1" s="31" t="s">
        <v>102</v>
      </c>
      <c r="M1" s="31"/>
    </row>
    <row r="2" spans="1:13" x14ac:dyDescent="0.35">
      <c r="A2" s="2" t="s">
        <v>94</v>
      </c>
      <c r="B2" s="2" t="s">
        <v>30</v>
      </c>
      <c r="C2" s="2">
        <v>28000</v>
      </c>
      <c r="E2" s="2" t="s">
        <v>30</v>
      </c>
      <c r="F2" s="2" t="s">
        <v>31</v>
      </c>
      <c r="G2" s="2" t="s">
        <v>32</v>
      </c>
      <c r="I2" s="31">
        <f>AVERAGE(C2:C21)</f>
        <v>39050</v>
      </c>
      <c r="J2" s="31"/>
      <c r="L2" s="31">
        <f>COUNTA(A2:A21)</f>
        <v>20</v>
      </c>
      <c r="M2" s="31"/>
    </row>
    <row r="3" spans="1:13" x14ac:dyDescent="0.35">
      <c r="A3" s="2" t="s">
        <v>95</v>
      </c>
      <c r="B3" s="2" t="s">
        <v>31</v>
      </c>
      <c r="C3" s="2">
        <v>45000</v>
      </c>
      <c r="E3" s="2">
        <f>SUMIF(B2:B21,B2,C2:C21)</f>
        <v>262000</v>
      </c>
      <c r="F3" s="2">
        <f>SUMIF(B2:B21,B3,C2:C21)</f>
        <v>270000</v>
      </c>
      <c r="G3" s="2">
        <f>SUMIF(B2:B21,B5,C2:C21)</f>
        <v>249000</v>
      </c>
    </row>
    <row r="4" spans="1:13" x14ac:dyDescent="0.35">
      <c r="A4" s="2" t="s">
        <v>96</v>
      </c>
      <c r="B4" s="2" t="s">
        <v>31</v>
      </c>
      <c r="C4" s="2">
        <v>30000</v>
      </c>
    </row>
    <row r="5" spans="1:13" x14ac:dyDescent="0.35">
      <c r="A5" s="2" t="s">
        <v>97</v>
      </c>
      <c r="B5" s="2" t="s">
        <v>32</v>
      </c>
      <c r="C5" s="2">
        <v>38000</v>
      </c>
    </row>
    <row r="6" spans="1:13" x14ac:dyDescent="0.35">
      <c r="A6" s="2" t="s">
        <v>98</v>
      </c>
      <c r="B6" s="2" t="s">
        <v>30</v>
      </c>
      <c r="C6" s="2">
        <v>50000</v>
      </c>
    </row>
    <row r="7" spans="1:13" x14ac:dyDescent="0.35">
      <c r="A7" s="2" t="s">
        <v>99</v>
      </c>
      <c r="B7" s="2" t="s">
        <v>32</v>
      </c>
      <c r="C7" s="2">
        <v>45000</v>
      </c>
    </row>
    <row r="8" spans="1:13" x14ac:dyDescent="0.35">
      <c r="A8" s="2" t="s">
        <v>94</v>
      </c>
      <c r="B8" s="2" t="s">
        <v>30</v>
      </c>
      <c r="C8" s="2">
        <v>28000</v>
      </c>
    </row>
    <row r="9" spans="1:13" x14ac:dyDescent="0.35">
      <c r="A9" s="2" t="s">
        <v>95</v>
      </c>
      <c r="B9" s="2" t="s">
        <v>31</v>
      </c>
      <c r="C9" s="2">
        <v>45000</v>
      </c>
    </row>
    <row r="10" spans="1:13" x14ac:dyDescent="0.35">
      <c r="A10" s="2" t="s">
        <v>96</v>
      </c>
      <c r="B10" s="2" t="s">
        <v>31</v>
      </c>
      <c r="C10" s="2">
        <v>30000</v>
      </c>
    </row>
    <row r="11" spans="1:13" x14ac:dyDescent="0.35">
      <c r="A11" s="2" t="s">
        <v>97</v>
      </c>
      <c r="B11" s="2" t="s">
        <v>32</v>
      </c>
      <c r="C11" s="2">
        <v>38000</v>
      </c>
    </row>
    <row r="12" spans="1:13" x14ac:dyDescent="0.35">
      <c r="A12" s="2" t="s">
        <v>98</v>
      </c>
      <c r="B12" s="2" t="s">
        <v>30</v>
      </c>
      <c r="C12" s="2">
        <v>50000</v>
      </c>
    </row>
    <row r="13" spans="1:13" x14ac:dyDescent="0.35">
      <c r="A13" s="2" t="s">
        <v>99</v>
      </c>
      <c r="B13" s="2" t="s">
        <v>32</v>
      </c>
      <c r="C13" s="2">
        <v>45000</v>
      </c>
    </row>
    <row r="14" spans="1:13" x14ac:dyDescent="0.35">
      <c r="A14" s="2" t="s">
        <v>94</v>
      </c>
      <c r="B14" s="2" t="s">
        <v>30</v>
      </c>
      <c r="C14" s="2">
        <v>28000</v>
      </c>
    </row>
    <row r="15" spans="1:13" x14ac:dyDescent="0.35">
      <c r="A15" s="2" t="s">
        <v>95</v>
      </c>
      <c r="B15" s="2" t="s">
        <v>31</v>
      </c>
      <c r="C15" s="2">
        <v>45000</v>
      </c>
    </row>
    <row r="16" spans="1:13" x14ac:dyDescent="0.35">
      <c r="A16" s="2" t="s">
        <v>96</v>
      </c>
      <c r="B16" s="2" t="s">
        <v>31</v>
      </c>
      <c r="C16" s="2">
        <v>30000</v>
      </c>
    </row>
    <row r="17" spans="1:3" x14ac:dyDescent="0.35">
      <c r="A17" s="2" t="s">
        <v>97</v>
      </c>
      <c r="B17" s="2" t="s">
        <v>32</v>
      </c>
      <c r="C17" s="2">
        <v>38000</v>
      </c>
    </row>
    <row r="18" spans="1:3" x14ac:dyDescent="0.35">
      <c r="A18" s="2" t="s">
        <v>98</v>
      </c>
      <c r="B18" s="2" t="s">
        <v>30</v>
      </c>
      <c r="C18" s="2">
        <v>50000</v>
      </c>
    </row>
    <row r="19" spans="1:3" x14ac:dyDescent="0.35">
      <c r="A19" s="2" t="s">
        <v>99</v>
      </c>
      <c r="B19" s="2" t="s">
        <v>32</v>
      </c>
      <c r="C19" s="2">
        <v>45000</v>
      </c>
    </row>
    <row r="20" spans="1:3" x14ac:dyDescent="0.35">
      <c r="A20" s="2" t="s">
        <v>94</v>
      </c>
      <c r="B20" s="2" t="s">
        <v>30</v>
      </c>
      <c r="C20" s="2">
        <v>28000</v>
      </c>
    </row>
    <row r="21" spans="1:3" x14ac:dyDescent="0.35">
      <c r="A21" s="2" t="s">
        <v>95</v>
      </c>
      <c r="B21" s="2" t="s">
        <v>31</v>
      </c>
      <c r="C21" s="2">
        <v>45000</v>
      </c>
    </row>
  </sheetData>
  <mergeCells count="5">
    <mergeCell ref="E1:G1"/>
    <mergeCell ref="I1:J1"/>
    <mergeCell ref="I2:J2"/>
    <mergeCell ref="L1:M1"/>
    <mergeCell ref="L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E55D-214C-47A7-827B-B7306350639B}">
  <dimension ref="A1:M21"/>
  <sheetViews>
    <sheetView topLeftCell="G1" zoomScale="130" zoomScaleNormal="130" workbookViewId="0">
      <selection activeCell="J10" sqref="J10"/>
    </sheetView>
  </sheetViews>
  <sheetFormatPr defaultRowHeight="14.5" x14ac:dyDescent="0.35"/>
  <cols>
    <col min="1" max="1" width="15.6328125" customWidth="1"/>
    <col min="2" max="6" width="5.453125" bestFit="1" customWidth="1"/>
  </cols>
  <sheetData>
    <row r="1" spans="1:13" ht="17" customHeight="1" x14ac:dyDescent="0.35">
      <c r="A1" s="32" t="s">
        <v>56</v>
      </c>
      <c r="B1" s="32" t="s">
        <v>103</v>
      </c>
      <c r="C1" s="32" t="s">
        <v>104</v>
      </c>
      <c r="D1" s="32" t="s">
        <v>105</v>
      </c>
      <c r="E1" s="32" t="s">
        <v>106</v>
      </c>
      <c r="F1" s="32" t="s">
        <v>107</v>
      </c>
      <c r="H1" s="31" t="s">
        <v>110</v>
      </c>
      <c r="I1" s="31"/>
      <c r="K1" s="31" t="s">
        <v>111</v>
      </c>
      <c r="L1" s="31"/>
      <c r="M1" s="1"/>
    </row>
    <row r="2" spans="1:13" x14ac:dyDescent="0.35">
      <c r="A2" s="32" t="s">
        <v>61</v>
      </c>
      <c r="B2" s="32" t="s">
        <v>108</v>
      </c>
      <c r="C2" s="32" t="s">
        <v>109</v>
      </c>
      <c r="D2" s="32" t="s">
        <v>108</v>
      </c>
      <c r="E2" s="32" t="s">
        <v>108</v>
      </c>
      <c r="F2" s="32" t="s">
        <v>108</v>
      </c>
      <c r="H2" s="32" t="s">
        <v>103</v>
      </c>
      <c r="I2" s="34">
        <f>COUNTIF(B2:B21,B2)</f>
        <v>15</v>
      </c>
      <c r="K2" s="2" t="s">
        <v>103</v>
      </c>
      <c r="L2" s="35">
        <f>COUNTIF(B2:B21,B4)</f>
        <v>5</v>
      </c>
    </row>
    <row r="3" spans="1:13" x14ac:dyDescent="0.35">
      <c r="A3" s="33" t="s">
        <v>62</v>
      </c>
      <c r="B3" s="33" t="s">
        <v>108</v>
      </c>
      <c r="C3" s="33" t="s">
        <v>108</v>
      </c>
      <c r="D3" s="33" t="s">
        <v>108</v>
      </c>
      <c r="E3" s="33" t="s">
        <v>109</v>
      </c>
      <c r="F3" s="33" t="s">
        <v>108</v>
      </c>
      <c r="H3" s="33" t="s">
        <v>104</v>
      </c>
      <c r="I3" s="35">
        <f>COUNTIF(C2:C21,C3)</f>
        <v>10</v>
      </c>
      <c r="K3" s="2" t="s">
        <v>104</v>
      </c>
      <c r="L3" s="35">
        <f>COUNTIF(C2:C21,C2)</f>
        <v>10</v>
      </c>
    </row>
    <row r="4" spans="1:13" x14ac:dyDescent="0.35">
      <c r="A4" s="32" t="s">
        <v>63</v>
      </c>
      <c r="B4" s="32" t="s">
        <v>109</v>
      </c>
      <c r="C4" s="32" t="s">
        <v>108</v>
      </c>
      <c r="D4" s="32" t="s">
        <v>108</v>
      </c>
      <c r="E4" s="32" t="s">
        <v>108</v>
      </c>
      <c r="F4" s="32" t="s">
        <v>108</v>
      </c>
      <c r="H4" s="32" t="s">
        <v>105</v>
      </c>
      <c r="I4" s="35">
        <f>COUNTIF(D2:D21,D2)</f>
        <v>15</v>
      </c>
      <c r="K4" s="2" t="s">
        <v>105</v>
      </c>
      <c r="L4" s="35">
        <f>COUNTIF(D2:D21,D5)</f>
        <v>5</v>
      </c>
    </row>
    <row r="5" spans="1:13" x14ac:dyDescent="0.35">
      <c r="A5" s="33" t="s">
        <v>64</v>
      </c>
      <c r="B5" s="33" t="s">
        <v>108</v>
      </c>
      <c r="C5" s="33" t="s">
        <v>109</v>
      </c>
      <c r="D5" s="33" t="s">
        <v>109</v>
      </c>
      <c r="E5" s="33" t="s">
        <v>108</v>
      </c>
      <c r="F5" s="33" t="s">
        <v>109</v>
      </c>
      <c r="H5" s="33" t="s">
        <v>106</v>
      </c>
      <c r="I5" s="35">
        <f>COUNTIF(E2:E21,E2)</f>
        <v>15</v>
      </c>
      <c r="K5" s="2" t="s">
        <v>106</v>
      </c>
      <c r="L5" s="35">
        <f>COUNTIF(E2:E22,E3)</f>
        <v>5</v>
      </c>
    </row>
    <row r="6" spans="1:13" x14ac:dyDescent="0.35">
      <c r="A6" s="32" t="s">
        <v>61</v>
      </c>
      <c r="B6" s="32" t="s">
        <v>108</v>
      </c>
      <c r="C6" s="32" t="s">
        <v>109</v>
      </c>
      <c r="D6" s="32" t="s">
        <v>108</v>
      </c>
      <c r="E6" s="32" t="s">
        <v>108</v>
      </c>
      <c r="F6" s="32" t="s">
        <v>108</v>
      </c>
      <c r="H6" s="32" t="s">
        <v>107</v>
      </c>
      <c r="I6" s="35">
        <f>COUNTIF(F2:F21,F2)</f>
        <v>15</v>
      </c>
      <c r="K6" s="2" t="s">
        <v>107</v>
      </c>
      <c r="L6" s="35">
        <f>COUNTIF(F2:F21,F5)</f>
        <v>5</v>
      </c>
    </row>
    <row r="7" spans="1:13" x14ac:dyDescent="0.35">
      <c r="A7" s="33" t="s">
        <v>62</v>
      </c>
      <c r="B7" s="33" t="s">
        <v>108</v>
      </c>
      <c r="C7" s="33" t="s">
        <v>108</v>
      </c>
      <c r="D7" s="33" t="s">
        <v>108</v>
      </c>
      <c r="E7" s="33" t="s">
        <v>109</v>
      </c>
      <c r="F7" s="33" t="s">
        <v>108</v>
      </c>
    </row>
    <row r="8" spans="1:13" x14ac:dyDescent="0.35">
      <c r="A8" s="32" t="s">
        <v>63</v>
      </c>
      <c r="B8" s="32" t="s">
        <v>109</v>
      </c>
      <c r="C8" s="32" t="s">
        <v>108</v>
      </c>
      <c r="D8" s="32" t="s">
        <v>108</v>
      </c>
      <c r="E8" s="32" t="s">
        <v>108</v>
      </c>
      <c r="F8" s="32" t="s">
        <v>108</v>
      </c>
    </row>
    <row r="9" spans="1:13" x14ac:dyDescent="0.35">
      <c r="A9" s="33" t="s">
        <v>64</v>
      </c>
      <c r="B9" s="33" t="s">
        <v>108</v>
      </c>
      <c r="C9" s="33" t="s">
        <v>109</v>
      </c>
      <c r="D9" s="33" t="s">
        <v>109</v>
      </c>
      <c r="E9" s="33" t="s">
        <v>108</v>
      </c>
      <c r="F9" s="33" t="s">
        <v>109</v>
      </c>
    </row>
    <row r="10" spans="1:13" x14ac:dyDescent="0.35">
      <c r="A10" s="32" t="s">
        <v>61</v>
      </c>
      <c r="B10" s="32" t="s">
        <v>108</v>
      </c>
      <c r="C10" s="32" t="s">
        <v>109</v>
      </c>
      <c r="D10" s="32" t="s">
        <v>108</v>
      </c>
      <c r="E10" s="32" t="s">
        <v>108</v>
      </c>
      <c r="F10" s="32" t="s">
        <v>108</v>
      </c>
    </row>
    <row r="11" spans="1:13" x14ac:dyDescent="0.35">
      <c r="A11" s="33" t="s">
        <v>62</v>
      </c>
      <c r="B11" s="33" t="s">
        <v>108</v>
      </c>
      <c r="C11" s="33" t="s">
        <v>108</v>
      </c>
      <c r="D11" s="33" t="s">
        <v>108</v>
      </c>
      <c r="E11" s="33" t="s">
        <v>109</v>
      </c>
      <c r="F11" s="33" t="s">
        <v>108</v>
      </c>
    </row>
    <row r="12" spans="1:13" x14ac:dyDescent="0.35">
      <c r="A12" s="32" t="s">
        <v>63</v>
      </c>
      <c r="B12" s="32" t="s">
        <v>109</v>
      </c>
      <c r="C12" s="32" t="s">
        <v>108</v>
      </c>
      <c r="D12" s="32" t="s">
        <v>108</v>
      </c>
      <c r="E12" s="32" t="s">
        <v>108</v>
      </c>
      <c r="F12" s="32" t="s">
        <v>108</v>
      </c>
    </row>
    <row r="13" spans="1:13" x14ac:dyDescent="0.35">
      <c r="A13" s="33" t="s">
        <v>64</v>
      </c>
      <c r="B13" s="33" t="s">
        <v>108</v>
      </c>
      <c r="C13" s="33" t="s">
        <v>109</v>
      </c>
      <c r="D13" s="33" t="s">
        <v>109</v>
      </c>
      <c r="E13" s="33" t="s">
        <v>108</v>
      </c>
      <c r="F13" s="33" t="s">
        <v>109</v>
      </c>
    </row>
    <row r="14" spans="1:13" x14ac:dyDescent="0.35">
      <c r="A14" s="32" t="s">
        <v>61</v>
      </c>
      <c r="B14" s="32" t="s">
        <v>108</v>
      </c>
      <c r="C14" s="32" t="s">
        <v>109</v>
      </c>
      <c r="D14" s="32" t="s">
        <v>108</v>
      </c>
      <c r="E14" s="32" t="s">
        <v>108</v>
      </c>
      <c r="F14" s="32" t="s">
        <v>108</v>
      </c>
    </row>
    <row r="15" spans="1:13" x14ac:dyDescent="0.35">
      <c r="A15" s="33" t="s">
        <v>62</v>
      </c>
      <c r="B15" s="33" t="s">
        <v>108</v>
      </c>
      <c r="C15" s="33" t="s">
        <v>108</v>
      </c>
      <c r="D15" s="33" t="s">
        <v>108</v>
      </c>
      <c r="E15" s="33" t="s">
        <v>109</v>
      </c>
      <c r="F15" s="33" t="s">
        <v>108</v>
      </c>
    </row>
    <row r="16" spans="1:13" x14ac:dyDescent="0.35">
      <c r="A16" s="32" t="s">
        <v>63</v>
      </c>
      <c r="B16" s="32" t="s">
        <v>109</v>
      </c>
      <c r="C16" s="32" t="s">
        <v>108</v>
      </c>
      <c r="D16" s="32" t="s">
        <v>108</v>
      </c>
      <c r="E16" s="32" t="s">
        <v>108</v>
      </c>
      <c r="F16" s="32" t="s">
        <v>108</v>
      </c>
    </row>
    <row r="17" spans="1:6" x14ac:dyDescent="0.35">
      <c r="A17" s="33" t="s">
        <v>64</v>
      </c>
      <c r="B17" s="33" t="s">
        <v>108</v>
      </c>
      <c r="C17" s="33" t="s">
        <v>109</v>
      </c>
      <c r="D17" s="33" t="s">
        <v>109</v>
      </c>
      <c r="E17" s="33" t="s">
        <v>108</v>
      </c>
      <c r="F17" s="33" t="s">
        <v>109</v>
      </c>
    </row>
    <row r="18" spans="1:6" x14ac:dyDescent="0.35">
      <c r="A18" s="32" t="s">
        <v>61</v>
      </c>
      <c r="B18" s="32" t="s">
        <v>108</v>
      </c>
      <c r="C18" s="32" t="s">
        <v>109</v>
      </c>
      <c r="D18" s="32" t="s">
        <v>108</v>
      </c>
      <c r="E18" s="32" t="s">
        <v>108</v>
      </c>
      <c r="F18" s="32" t="s">
        <v>108</v>
      </c>
    </row>
    <row r="19" spans="1:6" x14ac:dyDescent="0.35">
      <c r="A19" s="33" t="s">
        <v>62</v>
      </c>
      <c r="B19" s="33" t="s">
        <v>108</v>
      </c>
      <c r="C19" s="33" t="s">
        <v>108</v>
      </c>
      <c r="D19" s="33" t="s">
        <v>108</v>
      </c>
      <c r="E19" s="33" t="s">
        <v>109</v>
      </c>
      <c r="F19" s="33" t="s">
        <v>108</v>
      </c>
    </row>
    <row r="20" spans="1:6" x14ac:dyDescent="0.35">
      <c r="A20" s="32" t="s">
        <v>63</v>
      </c>
      <c r="B20" s="32" t="s">
        <v>109</v>
      </c>
      <c r="C20" s="32" t="s">
        <v>108</v>
      </c>
      <c r="D20" s="32" t="s">
        <v>108</v>
      </c>
      <c r="E20" s="32" t="s">
        <v>108</v>
      </c>
      <c r="F20" s="32" t="s">
        <v>108</v>
      </c>
    </row>
    <row r="21" spans="1:6" x14ac:dyDescent="0.35">
      <c r="A21" s="33" t="s">
        <v>64</v>
      </c>
      <c r="B21" s="33" t="s">
        <v>108</v>
      </c>
      <c r="C21" s="33" t="s">
        <v>109</v>
      </c>
      <c r="D21" s="33" t="s">
        <v>109</v>
      </c>
      <c r="E21" s="33" t="s">
        <v>108</v>
      </c>
      <c r="F21" s="33" t="s">
        <v>109</v>
      </c>
    </row>
  </sheetData>
  <mergeCells count="2">
    <mergeCell ref="H1:I1"/>
    <mergeCell ref="K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2026-07-04T08:22:30Z</dcterms:created>
  <dcterms:modified xsi:type="dcterms:W3CDTF">2026-07-04T10:01:30Z</dcterms:modified>
</cp:coreProperties>
</file>