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YASHVI SHAH\Downloads\"/>
    </mc:Choice>
  </mc:AlternateContent>
  <xr:revisionPtr revIDLastSave="0" documentId="13_ncr:1_{1BA6D9D1-F3D6-41AF-B639-3E0E13F34DDD}" xr6:coauthVersionLast="47" xr6:coauthVersionMax="47" xr10:uidLastSave="{00000000-0000-0000-0000-000000000000}"/>
  <bookViews>
    <workbookView xWindow="-108" yWindow="-108" windowWidth="23256" windowHeight="12456" activeTab="3" xr2:uid="{6AF98DDD-AB30-4A71-BAF3-15FD6671C5ED}"/>
  </bookViews>
  <sheets>
    <sheet name="Task 1-17" sheetId="1" r:id="rId1"/>
    <sheet name="Task 18-19" sheetId="6" r:id="rId2"/>
    <sheet name="Pivot Table" sheetId="14" r:id="rId3"/>
    <sheet name="Dashboard" sheetId="7" r:id="rId4"/>
  </sheets>
  <externalReferences>
    <externalReference r:id="rId5"/>
  </externalReferences>
  <definedNames>
    <definedName name="Slicer_Store_Name">#N/A</definedName>
  </definedNames>
  <calcPr calcId="191029"/>
  <pivotCaches>
    <pivotCache cacheId="0" r:id="rId6"/>
    <pivotCache cacheId="1" r:id="rId7"/>
  </pivotCaches>
  <extLst>
    <ext xmlns:x14="http://schemas.microsoft.com/office/spreadsheetml/2009/9/main" uri="{876F7934-8845-4945-9796-88D515C7AA90}">
      <x14:pivotCaches>
        <pivotCache cacheId="2"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7" l="1"/>
  <c r="C18" i="7"/>
  <c r="C17" i="7"/>
  <c r="C16" i="7"/>
  <c r="C15" i="7"/>
  <c r="C14" i="7"/>
  <c r="AA2" i="1" a="1"/>
  <c r="C13" i="7"/>
  <c r="C12" i="7"/>
  <c r="C11" i="7"/>
  <c r="C10" i="7"/>
  <c r="C9" i="7"/>
  <c r="G20" i="6"/>
  <c r="F20" i="6"/>
  <c r="E20" i="6"/>
  <c r="D20" i="6"/>
  <c r="C20" i="6"/>
  <c r="I2" i="6" a="1"/>
  <c r="I2" i="6" s="1"/>
  <c r="H2" i="6" a="1"/>
  <c r="H2" i="6" s="1"/>
  <c r="G2" i="6" a="1"/>
  <c r="G2" i="6" s="1"/>
  <c r="E2" i="6" a="1"/>
  <c r="E2" i="6" s="1"/>
  <c r="D2" i="6" a="1"/>
  <c r="D2" i="6" s="1"/>
  <c r="C2" i="6" a="1"/>
  <c r="C2" i="6" s="1"/>
  <c r="B2" i="6" a="1"/>
  <c r="B2" i="6" s="1"/>
  <c r="AC3" i="1"/>
  <c r="AC4" i="1"/>
  <c r="AC5" i="1"/>
  <c r="AC6" i="1"/>
  <c r="AC7" i="1"/>
  <c r="AC8" i="1"/>
  <c r="AC9" i="1"/>
  <c r="AC10" i="1"/>
  <c r="AC11" i="1"/>
  <c r="AC12" i="1"/>
  <c r="AC13" i="1"/>
  <c r="AC14" i="1"/>
  <c r="AC15" i="1"/>
  <c r="AC16" i="1"/>
  <c r="AC2" i="1"/>
  <c r="AB2" i="1" a="1"/>
  <c r="AB2" i="1" s="1"/>
  <c r="Z2" i="1" a="1"/>
  <c r="Z2" i="1" s="1"/>
  <c r="Y2" i="1" a="1"/>
  <c r="Y2" i="1" s="1"/>
  <c r="P17" i="1"/>
  <c r="P14" i="1"/>
  <c r="P11" i="1"/>
  <c r="J24" i="1"/>
  <c r="J21" i="1"/>
  <c r="J18" i="1"/>
  <c r="J15" i="1"/>
  <c r="C24" i="1"/>
  <c r="C21" i="1"/>
  <c r="C18" i="1"/>
  <c r="C15" i="1"/>
  <c r="C27" i="1"/>
  <c r="F2" i="6" l="1" a="1"/>
  <c r="F2" i="6" s="1"/>
  <c r="AA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<sst xmlns="http://schemas.openxmlformats.org/spreadsheetml/2006/main" count="319" uniqueCount="142">
  <si>
    <t>Product ID</t>
  </si>
  <si>
    <t>Product Name</t>
  </si>
  <si>
    <t>Category</t>
  </si>
  <si>
    <t>Brand</t>
  </si>
  <si>
    <t>Price</t>
  </si>
  <si>
    <t>Stock</t>
  </si>
  <si>
    <t>Laptop</t>
  </si>
  <si>
    <t>Smartphone</t>
  </si>
  <si>
    <t>Headphones</t>
  </si>
  <si>
    <t>Keyboard</t>
  </si>
  <si>
    <t>Mouse</t>
  </si>
  <si>
    <t>Printer</t>
  </si>
  <si>
    <t>Office Chair</t>
  </si>
  <si>
    <t>Office Desk</t>
  </si>
  <si>
    <t>Monitor</t>
  </si>
  <si>
    <t>Webcam</t>
  </si>
  <si>
    <t>Electronics</t>
  </si>
  <si>
    <t>Accessories</t>
  </si>
  <si>
    <t>Furniture</t>
  </si>
  <si>
    <t>Dell</t>
  </si>
  <si>
    <t>Samsung</t>
  </si>
  <si>
    <t>Sony</t>
  </si>
  <si>
    <t>Logitech</t>
  </si>
  <si>
    <t>HP</t>
  </si>
  <si>
    <t>Canon</t>
  </si>
  <si>
    <t xml:space="preserve">Green Soul </t>
  </si>
  <si>
    <t>IKEA</t>
  </si>
  <si>
    <t>LG</t>
  </si>
  <si>
    <t xml:space="preserve">Customer ID  </t>
  </si>
  <si>
    <t>Customer Name</t>
  </si>
  <si>
    <t>City</t>
  </si>
  <si>
    <t>State</t>
  </si>
  <si>
    <t>Gender</t>
  </si>
  <si>
    <t>C001</t>
  </si>
  <si>
    <t>C002</t>
  </si>
  <si>
    <t>C003</t>
  </si>
  <si>
    <t>C004</t>
  </si>
  <si>
    <t>C005</t>
  </si>
  <si>
    <t>C006</t>
  </si>
  <si>
    <t>C007</t>
  </si>
  <si>
    <t>C008</t>
  </si>
  <si>
    <t>C009</t>
  </si>
  <si>
    <t>C010</t>
  </si>
  <si>
    <t>Amit Patel</t>
  </si>
  <si>
    <t>Priya Shah</t>
  </si>
  <si>
    <t>Rahul Mehta</t>
  </si>
  <si>
    <t>Sneha Joshi</t>
  </si>
  <si>
    <t>Arjun Singh</t>
  </si>
  <si>
    <t>Neha Verma</t>
  </si>
  <si>
    <t>Rohan Gupta</t>
  </si>
  <si>
    <t>Pooja Sharma</t>
  </si>
  <si>
    <t>Karan Desai</t>
  </si>
  <si>
    <t>Anjali Nair</t>
  </si>
  <si>
    <t>Surat</t>
  </si>
  <si>
    <t>Mumbai</t>
  </si>
  <si>
    <t>Pune</t>
  </si>
  <si>
    <t>Jaipur</t>
  </si>
  <si>
    <t>Delhi</t>
  </si>
  <si>
    <t>Indore</t>
  </si>
  <si>
    <t>Lucknow</t>
  </si>
  <si>
    <t>Vadodara</t>
  </si>
  <si>
    <t>Kochi</t>
  </si>
  <si>
    <t>Gujarat</t>
  </si>
  <si>
    <t>Gujatrat</t>
  </si>
  <si>
    <t>Maharashtra</t>
  </si>
  <si>
    <t>Rajasthan</t>
  </si>
  <si>
    <t>Madhya Pradesh</t>
  </si>
  <si>
    <t>Uttar Pradesh</t>
  </si>
  <si>
    <t>Kerala</t>
  </si>
  <si>
    <t xml:space="preserve">Male </t>
  </si>
  <si>
    <t>Female</t>
  </si>
  <si>
    <t>Store ID</t>
  </si>
  <si>
    <t>Store Name</t>
  </si>
  <si>
    <t>S001</t>
  </si>
  <si>
    <t>S002</t>
  </si>
  <si>
    <t>S003</t>
  </si>
  <si>
    <t>S004</t>
  </si>
  <si>
    <t>S005</t>
  </si>
  <si>
    <t>Alpha Store</t>
  </si>
  <si>
    <t>Beta Store</t>
  </si>
  <si>
    <t>Central Store</t>
  </si>
  <si>
    <t>Digital Hub</t>
  </si>
  <si>
    <t>Smart World</t>
  </si>
  <si>
    <t>Ahmedabad</t>
  </si>
  <si>
    <t>Sale ID</t>
  </si>
  <si>
    <t>SA001</t>
  </si>
  <si>
    <t>SA002</t>
  </si>
  <si>
    <t>SA003</t>
  </si>
  <si>
    <t>SA004</t>
  </si>
  <si>
    <t>SA005</t>
  </si>
  <si>
    <t>SA006</t>
  </si>
  <si>
    <t>SA007</t>
  </si>
  <si>
    <t>SA008</t>
  </si>
  <si>
    <t>SA009</t>
  </si>
  <si>
    <t>SA010</t>
  </si>
  <si>
    <t>SA011</t>
  </si>
  <si>
    <t>SA012</t>
  </si>
  <si>
    <t>SA013</t>
  </si>
  <si>
    <t>SA014</t>
  </si>
  <si>
    <t>SA015</t>
  </si>
  <si>
    <t>P1001</t>
  </si>
  <si>
    <t>P1002</t>
  </si>
  <si>
    <t>P1003</t>
  </si>
  <si>
    <t>P1004</t>
  </si>
  <si>
    <t>P1005</t>
  </si>
  <si>
    <t>P1006</t>
  </si>
  <si>
    <t>P1007</t>
  </si>
  <si>
    <t>P1008</t>
  </si>
  <si>
    <t>P1009</t>
  </si>
  <si>
    <t>P1010</t>
  </si>
  <si>
    <t>Customer ID</t>
  </si>
  <si>
    <t>Quantity</t>
  </si>
  <si>
    <t>Date</t>
  </si>
  <si>
    <t>TASK 1</t>
  </si>
  <si>
    <t>TASK 2</t>
  </si>
  <si>
    <t>TASK 3</t>
  </si>
  <si>
    <t>TASK 4</t>
  </si>
  <si>
    <t>TASK 5</t>
  </si>
  <si>
    <t>TASK 6</t>
  </si>
  <si>
    <t>TASK 7</t>
  </si>
  <si>
    <t>TASK 8</t>
  </si>
  <si>
    <t>TASK 9</t>
  </si>
  <si>
    <t>TASK 10</t>
  </si>
  <si>
    <t>TASK 11</t>
  </si>
  <si>
    <t>TASK 12</t>
  </si>
  <si>
    <t>Product Price</t>
  </si>
  <si>
    <t>TASK 18</t>
  </si>
  <si>
    <t>TASK 19</t>
  </si>
  <si>
    <t xml:space="preserve"> </t>
  </si>
  <si>
    <t>Total Sales</t>
  </si>
  <si>
    <t>Row Labels</t>
  </si>
  <si>
    <t>Grand Total</t>
  </si>
  <si>
    <t>TRANSACTION DASHBOARD</t>
  </si>
  <si>
    <t>Transaction Details</t>
  </si>
  <si>
    <t>Customer name</t>
  </si>
  <si>
    <t>Customer City</t>
  </si>
  <si>
    <t>Store name</t>
  </si>
  <si>
    <t>Store City</t>
  </si>
  <si>
    <t>Sum of Product Price</t>
  </si>
  <si>
    <t>Sum of Total Sales</t>
  </si>
  <si>
    <t>Sum of Quantity</t>
  </si>
  <si>
    <t>Sum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</si>
</sst>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sz val="28"/>
      <color theme="1"/>
      <name val="Arial Rounded MT Bold"/>
      <family val="2"/>
    </font>
    <font>
      <sz val="16"/>
      <color theme="1"/>
      <name val="Aptos Narrow"/>
      <family val="2"/>
      <scheme val="minor"/>
    </font>
    <font>
      <sz val="20"/>
      <color theme="1"/>
      <name val="Aptos Narrow"/>
      <family val="2"/>
      <scheme val="minor"/>
    </font>
    <font>
      <i/>
      <sz val="20"/>
      <color theme="1"/>
      <name val="Aptos Narrow"/>
      <family val="2"/>
      <scheme val="minor"/>
    </font>
    <font>
      <b/>
      <sz val="22"/>
      <color theme="1"/>
      <name val="Aptos Narrow"/>
      <family val="2"/>
      <scheme val="minor"/>
    </font>
  </fonts>
  <fills count="8">
    <fill>
      <patternFill patternType="none"/>
    </fill>
    <fill>
      <patternFill patternType="gray125"/>
    </fill>
    <fill>
      <patternFill patternType="solid">
        <fgColor theme="3" tint="0.749992370372631"/>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3" tint="9.9978637043366805E-2"/>
        <bgColor indexed="64"/>
      </patternFill>
    </fill>
    <fill>
      <patternFill patternType="solid">
        <fgColor theme="3" tint="0.8999908444471571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3">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horizont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4" borderId="1" xfId="0"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4" borderId="2" xfId="0" applyFill="1" applyBorder="1" applyAlignment="1">
      <alignment horizontal="center" vertical="center"/>
    </xf>
    <xf numFmtId="0" fontId="0" fillId="2" borderId="1" xfId="0" applyFill="1" applyBorder="1"/>
    <xf numFmtId="0" fontId="0" fillId="0" borderId="0" xfId="0" pivotButton="1"/>
    <xf numFmtId="0" fontId="0" fillId="0" borderId="0" xfId="0" applyAlignment="1">
      <alignment horizontal="left"/>
    </xf>
    <xf numFmtId="14" fontId="0" fillId="0" borderId="1" xfId="0" applyNumberFormat="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xf>
    <xf numFmtId="14" fontId="4" fillId="4" borderId="1" xfId="0" applyNumberFormat="1" applyFont="1" applyFill="1" applyBorder="1" applyAlignment="1">
      <alignment horizontal="center"/>
    </xf>
    <xf numFmtId="0" fontId="0" fillId="6" borderId="0" xfId="0" applyFill="1"/>
    <xf numFmtId="0" fontId="3" fillId="6" borderId="0" xfId="0" applyFont="1" applyFill="1" applyAlignment="1">
      <alignment horizontal="center" vertical="center"/>
    </xf>
    <xf numFmtId="0" fontId="5" fillId="5" borderId="1" xfId="0" applyFont="1" applyFill="1" applyBorder="1" applyAlignment="1">
      <alignment horizontal="center" vertical="center"/>
    </xf>
    <xf numFmtId="0" fontId="6" fillId="3" borderId="1" xfId="0" applyFont="1" applyFill="1" applyBorder="1" applyAlignment="1">
      <alignment horizontal="center" vertical="center"/>
    </xf>
    <xf numFmtId="0" fontId="2" fillId="7"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0D8B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[Index Match.xlsx]Pivot Table!PivotTable19</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'Pivot Table'!$J$3</c:f>
              <c:strCache>
                <c:ptCount val="1"/>
                <c:pt idx="0">
                  <c:v>Total</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Table'!$I$4:$I$14</c:f>
              <c:strCache>
                <c:ptCount val="10"/>
                <c:pt idx="0">
                  <c:v>Headphones</c:v>
                </c:pt>
                <c:pt idx="1">
                  <c:v>Keyboard</c:v>
                </c:pt>
                <c:pt idx="2">
                  <c:v>Laptop</c:v>
                </c:pt>
                <c:pt idx="3">
                  <c:v>Monitor</c:v>
                </c:pt>
                <c:pt idx="4">
                  <c:v>Mouse</c:v>
                </c:pt>
                <c:pt idx="5">
                  <c:v>Office Chair</c:v>
                </c:pt>
                <c:pt idx="6">
                  <c:v>Office Desk</c:v>
                </c:pt>
                <c:pt idx="7">
                  <c:v>Printer</c:v>
                </c:pt>
                <c:pt idx="8">
                  <c:v>Smartphone</c:v>
                </c:pt>
                <c:pt idx="9">
                  <c:v>Webcam</c:v>
                </c:pt>
              </c:strCache>
            </c:strRef>
          </c:cat>
          <c:val>
            <c:numRef>
              <c:f>'Pivot Table'!$J$4:$J$14</c:f>
              <c:numCache>
                <c:formatCode>General</c:formatCode>
                <c:ptCount val="10"/>
                <c:pt idx="0">
                  <c:v>9000</c:v>
                </c:pt>
                <c:pt idx="1">
                  <c:v>1800</c:v>
                </c:pt>
                <c:pt idx="2">
                  <c:v>110000</c:v>
                </c:pt>
                <c:pt idx="3">
                  <c:v>32000</c:v>
                </c:pt>
                <c:pt idx="4">
                  <c:v>1800</c:v>
                </c:pt>
                <c:pt idx="5">
                  <c:v>8500</c:v>
                </c:pt>
                <c:pt idx="6">
                  <c:v>12000</c:v>
                </c:pt>
                <c:pt idx="7">
                  <c:v>12500</c:v>
                </c:pt>
                <c:pt idx="8">
                  <c:v>64000</c:v>
                </c:pt>
                <c:pt idx="9">
                  <c:v>3500</c:v>
                </c:pt>
              </c:numCache>
            </c:numRef>
          </c:val>
          <c:extLst>
            <c:ext xmlns:c16="http://schemas.microsoft.com/office/drawing/2014/chart" uri="{C3380CC4-5D6E-409C-BE32-E72D297353CC}">
              <c16:uniqueId val="{0000000D-5243-42BB-9919-B77317968AB5}"/>
            </c:ext>
          </c:extLst>
        </c:ser>
        <c:dLbls>
          <c:showLegendKey val="0"/>
          <c:showVal val="0"/>
          <c:showCatName val="0"/>
          <c:showSerName val="0"/>
          <c:showPercent val="0"/>
          <c:showBubbleSize val="0"/>
        </c:dLbls>
        <c:gapWidth val="100"/>
        <c:overlap val="-24"/>
        <c:axId val="908370687"/>
        <c:axId val="720663567"/>
      </c:barChart>
      <c:catAx>
        <c:axId val="9083706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0663567"/>
        <c:crosses val="autoZero"/>
        <c:auto val="1"/>
        <c:lblAlgn val="ctr"/>
        <c:lblOffset val="100"/>
        <c:noMultiLvlLbl val="0"/>
      </c:catAx>
      <c:valAx>
        <c:axId val="7206635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7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[Index Match.xlsx]Pivot Table!PivotTable20</c:name>
    <c:fmtId val="1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marker>
          <c:symbol val="circle"/>
          <c:size val="5"/>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0"/>
          <c:tx>
            <c:strRef>
              <c:f>[1]Sheet3!$C$14:$C$24</c:f>
              <c:strCache>
                <c:ptCount val="1"/>
                <c:pt idx="0">
                  <c:v>Total</c:v>
                </c:pt>
              </c:strCache>
            </c:strRef>
          </c:tx>
          <c:spPr>
            <a:gradFill>
              <a:gsLst>
                <a:gs pos="100000">
                  <a:schemeClr val="accent2">
                    <a:shade val="76000"/>
                  </a:schemeClr>
                </a:gs>
                <a:gs pos="0">
                  <a:schemeClr val="accent2">
                    <a:shade val="76000"/>
                    <a:lumMod val="75000"/>
                  </a:schemeClr>
                </a:gs>
              </a:gsLst>
              <a:lin ang="0" scaled="1"/>
            </a:gradFill>
            <a:ln>
              <a:noFill/>
            </a:ln>
            <a:effectLst>
              <a:innerShdw dist="12700" dir="16200000">
                <a:schemeClr val="lt1">
                  <a:alpha val="75000"/>
                </a:schemeClr>
              </a:innerShdw>
            </a:effectLst>
          </c:spPr>
          <c:cat>
            <c:strRef>
              <c:f>[1]Sheet3!$C$14:$C$24</c:f>
              <c:strCache>
                <c:ptCount val="10"/>
                <c:pt idx="0">
                  <c:v>C001</c:v>
                </c:pt>
                <c:pt idx="1">
                  <c:v>C002</c:v>
                </c:pt>
                <c:pt idx="2">
                  <c:v>C003</c:v>
                </c:pt>
                <c:pt idx="3">
                  <c:v>C004</c:v>
                </c:pt>
                <c:pt idx="4">
                  <c:v>C005</c:v>
                </c:pt>
                <c:pt idx="5">
                  <c:v>C006</c:v>
                </c:pt>
                <c:pt idx="6">
                  <c:v>C007</c:v>
                </c:pt>
                <c:pt idx="7">
                  <c:v>C008</c:v>
                </c:pt>
                <c:pt idx="8">
                  <c:v>C009</c:v>
                </c:pt>
                <c:pt idx="9">
                  <c:v>C010</c:v>
                </c:pt>
              </c:strCache>
            </c:strRef>
          </c:cat>
          <c:val>
            <c:numRef>
              <c:f>[1]Sheet3!$C$14:$C$24</c:f>
              <c:numCache>
                <c:formatCode>General</c:formatCode>
                <c:ptCount val="10"/>
                <c:pt idx="0">
                  <c:v>6</c:v>
                </c:pt>
                <c:pt idx="1">
                  <c:v>6</c:v>
                </c:pt>
                <c:pt idx="2">
                  <c:v>3</c:v>
                </c:pt>
                <c:pt idx="3">
                  <c:v>3</c:v>
                </c:pt>
                <c:pt idx="4">
                  <c:v>3</c:v>
                </c:pt>
                <c:pt idx="5">
                  <c:v>1</c:v>
                </c:pt>
                <c:pt idx="6">
                  <c:v>1</c:v>
                </c:pt>
                <c:pt idx="7">
                  <c:v>2</c:v>
                </c:pt>
                <c:pt idx="8">
                  <c:v>4</c:v>
                </c:pt>
                <c:pt idx="9">
                  <c:v>1</c:v>
                </c:pt>
              </c:numCache>
            </c:numRef>
          </c:val>
          <c:extLst>
            <c:ext xmlns:c16="http://schemas.microsoft.com/office/drawing/2014/chart" uri="{C3380CC4-5D6E-409C-BE32-E72D297353CC}">
              <c16:uniqueId val="{00000003-9939-4B10-A126-4147B03D3081}"/>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085870640"/>
        <c:axId val="1977374576"/>
      </c:areaChart>
      <c:catAx>
        <c:axId val="10858706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977374576"/>
        <c:crosses val="autoZero"/>
        <c:auto val="1"/>
        <c:lblAlgn val="ctr"/>
        <c:lblOffset val="100"/>
        <c:noMultiLvlLbl val="0"/>
      </c:catAx>
      <c:valAx>
        <c:axId val="19773745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5870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[Index Match.xlsx]Pivot Table!PivotTable17</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c:f>
              <c:strCache>
                <c:ptCount val="1"/>
                <c:pt idx="0">
                  <c:v>Sum of Quantity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42B-46DB-96A0-C0B57B152F9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42B-46DB-96A0-C0B57B152F9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42B-46DB-96A0-C0B57B152F9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42B-46DB-96A0-C0B57B152F9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42B-46DB-96A0-C0B57B152F96}"/>
              </c:ext>
            </c:extLst>
          </c:dPt>
          <c:cat>
            <c:strRef>
              <c:f>'Pivot Table'!$A$4:$A$9</c:f>
              <c:strCache>
                <c:ptCount val="5"/>
                <c:pt idx="0">
                  <c:v>Alpha Store</c:v>
                </c:pt>
                <c:pt idx="1">
                  <c:v>Beta Store</c:v>
                </c:pt>
                <c:pt idx="2">
                  <c:v>Central Store</c:v>
                </c:pt>
                <c:pt idx="3">
                  <c:v>Digital Hub</c:v>
                </c:pt>
                <c:pt idx="4">
                  <c:v>Smart World</c:v>
                </c:pt>
              </c:strCache>
            </c:strRef>
          </c:cat>
          <c:val>
            <c:numRef>
              <c:f>'Pivot Table'!$B$4:$B$9</c:f>
              <c:numCache>
                <c:formatCode>General</c:formatCode>
                <c:ptCount val="5"/>
                <c:pt idx="0">
                  <c:v>7</c:v>
                </c:pt>
                <c:pt idx="1">
                  <c:v>7</c:v>
                </c:pt>
                <c:pt idx="2">
                  <c:v>5</c:v>
                </c:pt>
                <c:pt idx="3">
                  <c:v>7</c:v>
                </c:pt>
                <c:pt idx="4">
                  <c:v>4</c:v>
                </c:pt>
              </c:numCache>
            </c:numRef>
          </c:val>
          <c:extLst>
            <c:ext xmlns:c16="http://schemas.microsoft.com/office/drawing/2014/chart" uri="{C3380CC4-5D6E-409C-BE32-E72D297353CC}">
              <c16:uniqueId val="{0000000A-142B-46DB-96A0-C0B57B152F96}"/>
            </c:ext>
          </c:extLst>
        </c:ser>
        <c:ser>
          <c:idx val="1"/>
          <c:order val="1"/>
          <c:tx>
            <c:strRef>
              <c:f>'Pivot Table'!$C$3</c:f>
              <c:strCache>
                <c:ptCount val="1"/>
                <c:pt idx="0">
                  <c:v>Sum of Total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142B-46DB-96A0-C0B57B152F9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142B-46DB-96A0-C0B57B152F9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142B-46DB-96A0-C0B57B152F9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142B-46DB-96A0-C0B57B152F9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142B-46DB-96A0-C0B57B152F96}"/>
              </c:ext>
            </c:extLst>
          </c:dPt>
          <c:cat>
            <c:strRef>
              <c:f>'Pivot Table'!$A$4:$A$9</c:f>
              <c:strCache>
                <c:ptCount val="5"/>
                <c:pt idx="0">
                  <c:v>Alpha Store</c:v>
                </c:pt>
                <c:pt idx="1">
                  <c:v>Beta Store</c:v>
                </c:pt>
                <c:pt idx="2">
                  <c:v>Central Store</c:v>
                </c:pt>
                <c:pt idx="3">
                  <c:v>Digital Hub</c:v>
                </c:pt>
                <c:pt idx="4">
                  <c:v>Smart World</c:v>
                </c:pt>
              </c:strCache>
            </c:strRef>
          </c:cat>
          <c:val>
            <c:numRef>
              <c:f>'Pivot Table'!$C$4:$C$9</c:f>
              <c:numCache>
                <c:formatCode>General</c:formatCode>
                <c:ptCount val="5"/>
                <c:pt idx="0">
                  <c:v>68000</c:v>
                </c:pt>
                <c:pt idx="1">
                  <c:v>28700</c:v>
                </c:pt>
                <c:pt idx="2">
                  <c:v>71000</c:v>
                </c:pt>
                <c:pt idx="3">
                  <c:v>55200</c:v>
                </c:pt>
                <c:pt idx="4">
                  <c:v>108000</c:v>
                </c:pt>
              </c:numCache>
            </c:numRef>
          </c:val>
          <c:extLst>
            <c:ext xmlns:c16="http://schemas.microsoft.com/office/drawing/2014/chart" uri="{C3380CC4-5D6E-409C-BE32-E72D297353CC}">
              <c16:uniqueId val="{00000015-142B-46DB-96A0-C0B57B152F96}"/>
            </c:ext>
          </c:extLst>
        </c:ser>
        <c:ser>
          <c:idx val="2"/>
          <c:order val="2"/>
          <c:tx>
            <c:strRef>
              <c:f>'Pivot Table'!$D$3</c:f>
              <c:strCache>
                <c:ptCount val="1"/>
                <c:pt idx="0">
                  <c:v>Sum of Product Price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42B-46DB-96A0-C0B57B152F9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42B-46DB-96A0-C0B57B152F9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42B-46DB-96A0-C0B57B152F9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42B-46DB-96A0-C0B57B152F9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42B-46DB-96A0-C0B57B152F96}"/>
              </c:ext>
            </c:extLst>
          </c:dPt>
          <c:cat>
            <c:strRef>
              <c:f>'Pivot Table'!$A$4:$A$9</c:f>
              <c:strCache>
                <c:ptCount val="5"/>
                <c:pt idx="0">
                  <c:v>Alpha Store</c:v>
                </c:pt>
                <c:pt idx="1">
                  <c:v>Beta Store</c:v>
                </c:pt>
                <c:pt idx="2">
                  <c:v>Central Store</c:v>
                </c:pt>
                <c:pt idx="3">
                  <c:v>Digital Hub</c:v>
                </c:pt>
                <c:pt idx="4">
                  <c:v>Smart World</c:v>
                </c:pt>
              </c:strCache>
            </c:strRef>
          </c:cat>
          <c:val>
            <c:numRef>
              <c:f>'Pivot Table'!$D$4:$D$9</c:f>
              <c:numCache>
                <c:formatCode>General</c:formatCode>
                <c:ptCount val="5"/>
                <c:pt idx="0">
                  <c:v>64400</c:v>
                </c:pt>
                <c:pt idx="1">
                  <c:v>17900</c:v>
                </c:pt>
                <c:pt idx="2">
                  <c:v>63000</c:v>
                </c:pt>
                <c:pt idx="3">
                  <c:v>33800</c:v>
                </c:pt>
                <c:pt idx="4">
                  <c:v>76000</c:v>
                </c:pt>
              </c:numCache>
            </c:numRef>
          </c:val>
          <c:extLst>
            <c:ext xmlns:c16="http://schemas.microsoft.com/office/drawing/2014/chart" uri="{C3380CC4-5D6E-409C-BE32-E72D297353CC}">
              <c16:uniqueId val="{00000020-142B-46DB-96A0-C0B57B152F9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[Index Match.xlsx]Pivot Table!PivotTable18</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Table'!$F$4:$F$7</c:f>
              <c:strCache>
                <c:ptCount val="3"/>
                <c:pt idx="0">
                  <c:v>Accessories</c:v>
                </c:pt>
                <c:pt idx="1">
                  <c:v>Electronics</c:v>
                </c:pt>
                <c:pt idx="2">
                  <c:v>Furniture</c:v>
                </c:pt>
              </c:strCache>
            </c:strRef>
          </c:cat>
          <c:val>
            <c:numRef>
              <c:f>'Pivot Table'!$G$4:$G$7</c:f>
              <c:numCache>
                <c:formatCode>General</c:formatCode>
                <c:ptCount val="3"/>
                <c:pt idx="0">
                  <c:v>14</c:v>
                </c:pt>
                <c:pt idx="1">
                  <c:v>14</c:v>
                </c:pt>
                <c:pt idx="2">
                  <c:v>2</c:v>
                </c:pt>
              </c:numCache>
            </c:numRef>
          </c:val>
          <c:smooth val="0"/>
          <c:extLst>
            <c:ext xmlns:c16="http://schemas.microsoft.com/office/drawing/2014/chart" uri="{C3380CC4-5D6E-409C-BE32-E72D297353CC}">
              <c16:uniqueId val="{00000000-522B-4A48-98BC-D0E848D4BAAF}"/>
            </c:ext>
          </c:extLst>
        </c:ser>
        <c:dLbls>
          <c:showLegendKey val="0"/>
          <c:showVal val="0"/>
          <c:showCatName val="0"/>
          <c:showSerName val="0"/>
          <c:showPercent val="0"/>
          <c:showBubbleSize val="0"/>
        </c:dLbls>
        <c:marker val="1"/>
        <c:smooth val="0"/>
        <c:axId val="908398063"/>
        <c:axId val="720673167"/>
      </c:lineChart>
      <c:catAx>
        <c:axId val="9083980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0673167"/>
        <c:crosses val="autoZero"/>
        <c:auto val="1"/>
        <c:lblAlgn val="ctr"/>
        <c:lblOffset val="100"/>
        <c:noMultiLvlLbl val="0"/>
      </c:catAx>
      <c:valAx>
        <c:axId val="7206731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9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106680</xdr:colOff>
      <xdr:row>4</xdr:row>
      <xdr:rowOff>15240</xdr:rowOff>
    </xdr:from>
    <xdr:to>
      <xdr:col>5</xdr:col>
      <xdr:colOff>289560</xdr:colOff>
      <xdr:row>9</xdr:row>
      <xdr:rowOff>7620</xdr:rowOff>
    </xdr:to>
    <xdr:sp macro="" textlink="">
      <xdr:nvSpPr>
        <xdr:cNvPr id="9" name="TextBox 8">
          <a:extLst>
            <a:ext uri="{FF2B5EF4-FFF2-40B4-BE49-F238E27FC236}">
              <a16:creationId xmlns:a16="http://schemas.microsoft.com/office/drawing/2014/main" id="{ACC4AE1A-FF3D-E8A2-1C76-537EBE02273C}"/>
            </a:ext>
          </a:extLst>
        </xdr:cNvPr>
        <xdr:cNvSpPr txBox="1"/>
      </xdr:nvSpPr>
      <xdr:spPr>
        <a:xfrm>
          <a:off x="3337560" y="601980"/>
          <a:ext cx="1402080" cy="10668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182880</xdr:colOff>
      <xdr:row>7</xdr:row>
      <xdr:rowOff>38100</xdr:rowOff>
    </xdr:from>
    <xdr:to>
      <xdr:col>5</xdr:col>
      <xdr:colOff>190500</xdr:colOff>
      <xdr:row>8</xdr:row>
      <xdr:rowOff>236220</xdr:rowOff>
    </xdr:to>
    <xdr:sp macro="" textlink="$C$18">
      <xdr:nvSpPr>
        <xdr:cNvPr id="11" name="TextBox 10">
          <a:extLst>
            <a:ext uri="{FF2B5EF4-FFF2-40B4-BE49-F238E27FC236}">
              <a16:creationId xmlns:a16="http://schemas.microsoft.com/office/drawing/2014/main" id="{0E2868D0-F1EC-437C-A514-C67EC2442D21}"/>
            </a:ext>
          </a:extLst>
        </xdr:cNvPr>
        <xdr:cNvSpPr txBox="1"/>
      </xdr:nvSpPr>
      <xdr:spPr>
        <a:xfrm>
          <a:off x="3413760" y="1173480"/>
          <a:ext cx="1226820" cy="39624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FA4B6C-A927-4EDE-AE17-93B12044594A}" type="TxLink">
            <a:rPr lang="en-US" sz="2000" b="0" i="0" u="none" strike="noStrike">
              <a:solidFill>
                <a:srgbClr val="000000"/>
              </a:solidFill>
              <a:latin typeface="Aptos Narrow"/>
            </a:rPr>
            <a:pPr algn="ctr"/>
            <a:t>2700</a:t>
          </a:fld>
          <a:endParaRPr lang="en-IN" sz="1100"/>
        </a:p>
      </xdr:txBody>
    </xdr:sp>
    <xdr:clientData/>
  </xdr:twoCellAnchor>
  <xdr:twoCellAnchor>
    <xdr:from>
      <xdr:col>3</xdr:col>
      <xdr:colOff>190500</xdr:colOff>
      <xdr:row>4</xdr:row>
      <xdr:rowOff>99060</xdr:rowOff>
    </xdr:from>
    <xdr:to>
      <xdr:col>5</xdr:col>
      <xdr:colOff>198120</xdr:colOff>
      <xdr:row>6</xdr:row>
      <xdr:rowOff>129540</xdr:rowOff>
    </xdr:to>
    <xdr:sp macro="" textlink="">
      <xdr:nvSpPr>
        <xdr:cNvPr id="12" name="TextBox 11">
          <a:extLst>
            <a:ext uri="{FF2B5EF4-FFF2-40B4-BE49-F238E27FC236}">
              <a16:creationId xmlns:a16="http://schemas.microsoft.com/office/drawing/2014/main" id="{B8039CE3-BBC7-48A9-9976-CF8EAF6C62ED}"/>
            </a:ext>
          </a:extLst>
        </xdr:cNvPr>
        <xdr:cNvSpPr txBox="1"/>
      </xdr:nvSpPr>
      <xdr:spPr>
        <a:xfrm>
          <a:off x="3421380" y="685800"/>
          <a:ext cx="1226820" cy="39624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Total Sales</a:t>
          </a:r>
        </a:p>
      </xdr:txBody>
    </xdr:sp>
    <xdr:clientData/>
  </xdr:twoCellAnchor>
  <xdr:twoCellAnchor>
    <xdr:from>
      <xdr:col>5</xdr:col>
      <xdr:colOff>411480</xdr:colOff>
      <xdr:row>4</xdr:row>
      <xdr:rowOff>22860</xdr:rowOff>
    </xdr:from>
    <xdr:to>
      <xdr:col>7</xdr:col>
      <xdr:colOff>594360</xdr:colOff>
      <xdr:row>9</xdr:row>
      <xdr:rowOff>15240</xdr:rowOff>
    </xdr:to>
    <xdr:sp macro="" textlink="">
      <xdr:nvSpPr>
        <xdr:cNvPr id="14" name="TextBox 13">
          <a:extLst>
            <a:ext uri="{FF2B5EF4-FFF2-40B4-BE49-F238E27FC236}">
              <a16:creationId xmlns:a16="http://schemas.microsoft.com/office/drawing/2014/main" id="{F046EE6E-6886-40E5-B981-18E5A06224F4}"/>
            </a:ext>
          </a:extLst>
        </xdr:cNvPr>
        <xdr:cNvSpPr txBox="1"/>
      </xdr:nvSpPr>
      <xdr:spPr>
        <a:xfrm>
          <a:off x="4861560" y="609600"/>
          <a:ext cx="1402080" cy="10668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8</xdr:col>
      <xdr:colOff>106680</xdr:colOff>
      <xdr:row>4</xdr:row>
      <xdr:rowOff>7620</xdr:rowOff>
    </xdr:from>
    <xdr:to>
      <xdr:col>10</xdr:col>
      <xdr:colOff>289560</xdr:colOff>
      <xdr:row>9</xdr:row>
      <xdr:rowOff>0</xdr:rowOff>
    </xdr:to>
    <xdr:sp macro="" textlink="">
      <xdr:nvSpPr>
        <xdr:cNvPr id="15" name="TextBox 14">
          <a:extLst>
            <a:ext uri="{FF2B5EF4-FFF2-40B4-BE49-F238E27FC236}">
              <a16:creationId xmlns:a16="http://schemas.microsoft.com/office/drawing/2014/main" id="{4FF8AB99-4CA1-4D53-BDF5-7E97DB54E284}"/>
            </a:ext>
          </a:extLst>
        </xdr:cNvPr>
        <xdr:cNvSpPr txBox="1"/>
      </xdr:nvSpPr>
      <xdr:spPr>
        <a:xfrm>
          <a:off x="6385560" y="594360"/>
          <a:ext cx="1402080" cy="10668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8</xdr:col>
      <xdr:colOff>198120</xdr:colOff>
      <xdr:row>4</xdr:row>
      <xdr:rowOff>91440</xdr:rowOff>
    </xdr:from>
    <xdr:to>
      <xdr:col>10</xdr:col>
      <xdr:colOff>205740</xdr:colOff>
      <xdr:row>6</xdr:row>
      <xdr:rowOff>121920</xdr:rowOff>
    </xdr:to>
    <xdr:sp macro="" textlink="">
      <xdr:nvSpPr>
        <xdr:cNvPr id="16" name="TextBox 15">
          <a:extLst>
            <a:ext uri="{FF2B5EF4-FFF2-40B4-BE49-F238E27FC236}">
              <a16:creationId xmlns:a16="http://schemas.microsoft.com/office/drawing/2014/main" id="{EAA6F27E-A587-4E2F-9E89-CE0A78263171}"/>
            </a:ext>
          </a:extLst>
        </xdr:cNvPr>
        <xdr:cNvSpPr txBox="1"/>
      </xdr:nvSpPr>
      <xdr:spPr>
        <a:xfrm>
          <a:off x="6477000" y="678180"/>
          <a:ext cx="1226820" cy="39624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 </a:t>
          </a:r>
          <a:r>
            <a:rPr lang="en-IN" sz="1800"/>
            <a:t>Price</a:t>
          </a:r>
        </a:p>
      </xdr:txBody>
    </xdr:sp>
    <xdr:clientData/>
  </xdr:twoCellAnchor>
  <xdr:twoCellAnchor>
    <xdr:from>
      <xdr:col>5</xdr:col>
      <xdr:colOff>502920</xdr:colOff>
      <xdr:row>7</xdr:row>
      <xdr:rowOff>45720</xdr:rowOff>
    </xdr:from>
    <xdr:to>
      <xdr:col>7</xdr:col>
      <xdr:colOff>510540</xdr:colOff>
      <xdr:row>8</xdr:row>
      <xdr:rowOff>243840</xdr:rowOff>
    </xdr:to>
    <xdr:sp macro="" textlink="$C$16">
      <xdr:nvSpPr>
        <xdr:cNvPr id="17" name="TextBox 16">
          <a:extLst>
            <a:ext uri="{FF2B5EF4-FFF2-40B4-BE49-F238E27FC236}">
              <a16:creationId xmlns:a16="http://schemas.microsoft.com/office/drawing/2014/main" id="{521AFD94-7D30-46B8-83AC-7118244E0A6E}"/>
            </a:ext>
          </a:extLst>
        </xdr:cNvPr>
        <xdr:cNvSpPr txBox="1"/>
      </xdr:nvSpPr>
      <xdr:spPr>
        <a:xfrm>
          <a:off x="4953000" y="1181100"/>
          <a:ext cx="1226820" cy="39624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24F594-C7C7-4C1C-9333-40463A519132}" type="TxLink">
            <a:rPr lang="en-US" sz="2000" b="0" i="0" u="none" strike="noStrike">
              <a:solidFill>
                <a:srgbClr val="000000"/>
              </a:solidFill>
              <a:latin typeface="Aptos Narrow"/>
            </a:rPr>
            <a:pPr algn="ctr"/>
            <a:t>3</a:t>
          </a:fld>
          <a:endParaRPr lang="en-IN" sz="1100"/>
        </a:p>
      </xdr:txBody>
    </xdr:sp>
    <xdr:clientData/>
  </xdr:twoCellAnchor>
  <xdr:twoCellAnchor>
    <xdr:from>
      <xdr:col>5</xdr:col>
      <xdr:colOff>487680</xdr:colOff>
      <xdr:row>4</xdr:row>
      <xdr:rowOff>106680</xdr:rowOff>
    </xdr:from>
    <xdr:to>
      <xdr:col>7</xdr:col>
      <xdr:colOff>495300</xdr:colOff>
      <xdr:row>6</xdr:row>
      <xdr:rowOff>137160</xdr:rowOff>
    </xdr:to>
    <xdr:sp macro="" textlink="">
      <xdr:nvSpPr>
        <xdr:cNvPr id="18" name="TextBox 17">
          <a:extLst>
            <a:ext uri="{FF2B5EF4-FFF2-40B4-BE49-F238E27FC236}">
              <a16:creationId xmlns:a16="http://schemas.microsoft.com/office/drawing/2014/main" id="{C3A8C941-97E1-436D-8D25-593A2399E058}"/>
            </a:ext>
          </a:extLst>
        </xdr:cNvPr>
        <xdr:cNvSpPr txBox="1"/>
      </xdr:nvSpPr>
      <xdr:spPr>
        <a:xfrm>
          <a:off x="4937760" y="693420"/>
          <a:ext cx="1226820" cy="39624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Quantity</a:t>
          </a:r>
        </a:p>
      </xdr:txBody>
    </xdr:sp>
    <xdr:clientData/>
  </xdr:twoCellAnchor>
  <xdr:twoCellAnchor>
    <xdr:from>
      <xdr:col>8</xdr:col>
      <xdr:colOff>190500</xdr:colOff>
      <xdr:row>7</xdr:row>
      <xdr:rowOff>45720</xdr:rowOff>
    </xdr:from>
    <xdr:to>
      <xdr:col>10</xdr:col>
      <xdr:colOff>198120</xdr:colOff>
      <xdr:row>8</xdr:row>
      <xdr:rowOff>243840</xdr:rowOff>
    </xdr:to>
    <xdr:sp macro="" textlink="$C$17">
      <xdr:nvSpPr>
        <xdr:cNvPr id="19" name="TextBox 18">
          <a:extLst>
            <a:ext uri="{FF2B5EF4-FFF2-40B4-BE49-F238E27FC236}">
              <a16:creationId xmlns:a16="http://schemas.microsoft.com/office/drawing/2014/main" id="{DE691AD4-69FE-4130-9700-0C398967C9AE}"/>
            </a:ext>
          </a:extLst>
        </xdr:cNvPr>
        <xdr:cNvSpPr txBox="1"/>
      </xdr:nvSpPr>
      <xdr:spPr>
        <a:xfrm>
          <a:off x="6469380" y="1181100"/>
          <a:ext cx="1226820" cy="39624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481B87-158D-4C5B-A14E-DA714E7D10F9}" type="TxLink">
            <a:rPr lang="en-US" sz="2000" b="0" i="0" u="none" strike="noStrike">
              <a:solidFill>
                <a:srgbClr val="000000"/>
              </a:solidFill>
              <a:latin typeface="Aptos Narrow"/>
            </a:rPr>
            <a:pPr algn="ctr"/>
            <a:t>900</a:t>
          </a:fld>
          <a:endParaRPr lang="en-IN" sz="1100"/>
        </a:p>
      </xdr:txBody>
    </xdr:sp>
    <xdr:clientData/>
  </xdr:twoCellAnchor>
  <xdr:twoCellAnchor>
    <xdr:from>
      <xdr:col>3</xdr:col>
      <xdr:colOff>121921</xdr:colOff>
      <xdr:row>9</xdr:row>
      <xdr:rowOff>91440</xdr:rowOff>
    </xdr:from>
    <xdr:to>
      <xdr:col>11</xdr:col>
      <xdr:colOff>15241</xdr:colOff>
      <xdr:row>19</xdr:row>
      <xdr:rowOff>7620</xdr:rowOff>
    </xdr:to>
    <xdr:graphicFrame macro="">
      <xdr:nvGraphicFramePr>
        <xdr:cNvPr id="20" name="Chart 19">
          <a:extLst>
            <a:ext uri="{FF2B5EF4-FFF2-40B4-BE49-F238E27FC236}">
              <a16:creationId xmlns:a16="http://schemas.microsoft.com/office/drawing/2014/main" id="{E0BBA3D9-3391-4F17-B1CD-7F0CAEB69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449580</xdr:colOff>
      <xdr:row>0</xdr:row>
      <xdr:rowOff>106680</xdr:rowOff>
    </xdr:from>
    <xdr:to>
      <xdr:col>20</xdr:col>
      <xdr:colOff>800100</xdr:colOff>
      <xdr:row>12</xdr:row>
      <xdr:rowOff>266700</xdr:rowOff>
    </xdr:to>
    <xdr:graphicFrame macro="">
      <xdr:nvGraphicFramePr>
        <xdr:cNvPr id="25" name="Chart 24">
          <a:extLst>
            <a:ext uri="{FF2B5EF4-FFF2-40B4-BE49-F238E27FC236}">
              <a16:creationId xmlns:a16="http://schemas.microsoft.com/office/drawing/2014/main" id="{C72A9E1B-184A-4936-BED2-C3B1AC11F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472440</xdr:colOff>
      <xdr:row>13</xdr:row>
      <xdr:rowOff>106680</xdr:rowOff>
    </xdr:from>
    <xdr:to>
      <xdr:col>20</xdr:col>
      <xdr:colOff>723900</xdr:colOff>
      <xdr:row>18</xdr:row>
      <xdr:rowOff>266700</xdr:rowOff>
    </xdr:to>
    <mc:AlternateContent xmlns:mc="http://schemas.openxmlformats.org/markup-compatibility/2006" xmlns:a14="http://schemas.microsoft.com/office/drawing/2010/main">
      <mc:Choice Requires="a14">
        <xdr:graphicFrame macro="">
          <xdr:nvGraphicFramePr>
            <xdr:cNvPr id="26" name="Store Name">
              <a:extLst>
                <a:ext uri="{FF2B5EF4-FFF2-40B4-BE49-F238E27FC236}">
                  <a16:creationId xmlns:a16="http://schemas.microsoft.com/office/drawing/2014/main" id="{0BC5A4D0-A3D5-4D22-9D95-A36022AD424A}"/>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11315700" y="3078480"/>
              <a:ext cx="2689860" cy="1798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99060</xdr:colOff>
      <xdr:row>11</xdr:row>
      <xdr:rowOff>175260</xdr:rowOff>
    </xdr:from>
    <xdr:to>
      <xdr:col>16</xdr:col>
      <xdr:colOff>381000</xdr:colOff>
      <xdr:row>18</xdr:row>
      <xdr:rowOff>281940</xdr:rowOff>
    </xdr:to>
    <xdr:graphicFrame macro="">
      <xdr:nvGraphicFramePr>
        <xdr:cNvPr id="27" name="Chart 26">
          <a:extLst>
            <a:ext uri="{FF2B5EF4-FFF2-40B4-BE49-F238E27FC236}">
              <a16:creationId xmlns:a16="http://schemas.microsoft.com/office/drawing/2014/main" id="{28F5DD4F-F85B-4CEF-B907-1BBC79993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121920</xdr:colOff>
      <xdr:row>1</xdr:row>
      <xdr:rowOff>0</xdr:rowOff>
    </xdr:from>
    <xdr:to>
      <xdr:col>16</xdr:col>
      <xdr:colOff>403860</xdr:colOff>
      <xdr:row>11</xdr:row>
      <xdr:rowOff>106680</xdr:rowOff>
    </xdr:to>
    <xdr:graphicFrame macro="">
      <xdr:nvGraphicFramePr>
        <xdr:cNvPr id="28" name="Chart 27">
          <a:extLst>
            <a:ext uri="{FF2B5EF4-FFF2-40B4-BE49-F238E27FC236}">
              <a16:creationId xmlns:a16="http://schemas.microsoft.com/office/drawing/2014/main" id="{52C2E818-896A-4AD2-AB86-CFB042617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VI SHAH" refreshedDate="46246.743679513886" createdVersion="8" refreshedVersion="8" minRefreshableVersion="3" recordCount="15" xr:uid="{3E47B737-B748-47FA-BEDA-9F2F4B298A5A}">
  <cacheSource type="worksheet">
    <worksheetSource ref="S1:AC16" sheet="Task 1-17"/>
  </cacheSource>
  <cacheFields count="11">
    <cacheField name="Sale ID" numFmtId="0">
      <sharedItems count="15">
        <s v="SA001"/>
        <s v="SA002"/>
        <s v="SA003"/>
        <s v="SA004"/>
        <s v="SA005"/>
        <s v="SA006"/>
        <s v="SA007"/>
        <s v="SA008"/>
        <s v="SA009"/>
        <s v="SA010"/>
        <s v="SA011"/>
        <s v="SA012"/>
        <s v="SA013"/>
        <s v="SA014"/>
        <s v="SA015"/>
      </sharedItems>
    </cacheField>
    <cacheField name="Product ID" numFmtId="0">
      <sharedItems count="10">
        <s v="P1001"/>
        <s v="P1005"/>
        <s v="P1003"/>
        <s v="P1009"/>
        <s v="P1002"/>
        <s v="P1007"/>
        <s v="P1006"/>
        <s v="P1010"/>
        <s v="P1004"/>
        <s v="P1008"/>
      </sharedItems>
    </cacheField>
    <cacheField name="Customer ID" numFmtId="0">
      <sharedItems count="10">
        <s v="C001"/>
        <s v="C002"/>
        <s v="C003"/>
        <s v="C004"/>
        <s v="C005"/>
        <s v="C006"/>
        <s v="C007"/>
        <s v="C008"/>
        <s v="C009"/>
        <s v="C010"/>
      </sharedItems>
    </cacheField>
    <cacheField name="Quantity" numFmtId="0">
      <sharedItems containsSemiMixedTypes="0" containsString="0" containsNumber="1" containsInteger="1" minValue="1" maxValue="5"/>
    </cacheField>
    <cacheField name="Date" numFmtId="14">
      <sharedItems containsSemiMixedTypes="0" containsNonDate="0" containsDate="1" containsString="0" minDate="2026-01-01T00:00:00" maxDate="2026-01-16T00:00:00"/>
    </cacheField>
    <cacheField name="Store ID" numFmtId="0">
      <sharedItems count="5">
        <s v="S001"/>
        <s v="S002"/>
        <s v="S003"/>
        <s v="S004"/>
        <s v="S005"/>
      </sharedItems>
    </cacheField>
    <cacheField name="Product Name" numFmtId="0">
      <sharedItems/>
    </cacheField>
    <cacheField name="Customer Name" numFmtId="0">
      <sharedItems/>
    </cacheField>
    <cacheField name="Store Name" numFmtId="0">
      <sharedItems count="5">
        <s v="Alpha Store"/>
        <s v="Beta Store"/>
        <s v="Central Store"/>
        <s v="Digital Hub"/>
        <s v="Smart World"/>
      </sharedItems>
    </cacheField>
    <cacheField name="Product Price" numFmtId="0">
      <sharedItems containsSemiMixedTypes="0" containsString="0" containsNumber="1" containsInteger="1" minValue="900" maxValue="55000"/>
    </cacheField>
    <cacheField name="Total Sales" numFmtId="0">
      <sharedItems containsSemiMixedTypes="0" containsString="0" containsNumber="1" containsInteger="1" minValue="2700" maxValue="64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VI SHAH" refreshedDate="46246.748435879628" createdVersion="8" refreshedVersion="8" minRefreshableVersion="3" recordCount="15" xr:uid="{505D93C0-5973-40D4-B6D2-95DDE257961A}">
  <cacheSource type="worksheet">
    <worksheetSource ref="A1:I16" sheet="Task 18-19"/>
  </cacheSource>
  <cacheFields count="9">
    <cacheField name="TASK 18" numFmtId="0">
      <sharedItems containsNonDate="0" containsString="0" containsBlank="1"/>
    </cacheField>
    <cacheField name="Sale ID" numFmtId="0">
      <sharedItems/>
    </cacheField>
    <cacheField name="Product Name" numFmtId="0">
      <sharedItems count="10">
        <s v="Laptop"/>
        <s v="Mouse"/>
        <s v="Headphones"/>
        <s v="Monitor"/>
        <s v="Smartphone"/>
        <s v="Office Chair"/>
        <s v="Printer"/>
        <s v="Webcam"/>
        <s v="Keyboard"/>
        <s v="Office Desk"/>
      </sharedItems>
    </cacheField>
    <cacheField name="Category" numFmtId="0">
      <sharedItems count="3">
        <s v="Electronics"/>
        <s v="Accessories"/>
        <s v="Furniture"/>
      </sharedItems>
    </cacheField>
    <cacheField name="Customer Name" numFmtId="0">
      <sharedItems/>
    </cacheField>
    <cacheField name="Store Name" numFmtId="0">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900" maxValue="55000"/>
    </cacheField>
    <cacheField name="Total Sales" numFmtId="0">
      <sharedItems containsSemiMixedTypes="0" containsString="0" containsNumber="1" containsInteger="1" minValue="2700" maxValue="64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VI SHAH" refreshedDate="46246.741180324076" createdVersion="8" refreshedVersion="8" minRefreshableVersion="3" recordCount="15" xr:uid="{4EB6E27B-735E-4D68-A2C9-93D75EA7B285}">
  <cacheSource type="worksheet">
    <worksheetSource ref="F1:F16" sheet="Task 18-19"/>
  </cacheSource>
  <cacheFields count="1">
    <cacheField name="Store Name" numFmtId="0">
      <sharedItems count="5">
        <s v="Alpha Store"/>
        <s v="Beta Store"/>
        <s v="Central Store"/>
        <s v="Digital Hub"/>
        <s v="Smart World"/>
      </sharedItems>
    </cacheField>
  </cacheFields>
  <extLst>
    <ext xmlns:x14="http://schemas.microsoft.com/office/spreadsheetml/2009/9/main" uri="{725AE2AE-9491-48be-B2B4-4EB974FC3084}">
      <x14:pivotCacheDefinition pivotCacheId="17293597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n v="1"/>
    <d v="2026-01-01T00:00:00"/>
    <x v="0"/>
    <s v="Laptop"/>
    <s v="Amit Patel"/>
    <x v="0"/>
    <n v="55000"/>
    <n v="55000"/>
  </r>
  <r>
    <x v="1"/>
    <x v="1"/>
    <x v="1"/>
    <n v="3"/>
    <d v="2026-01-02T00:00:00"/>
    <x v="1"/>
    <s v="Mouse"/>
    <s v="Priya Shah"/>
    <x v="1"/>
    <n v="900"/>
    <n v="2700"/>
  </r>
  <r>
    <x v="2"/>
    <x v="2"/>
    <x v="2"/>
    <n v="2"/>
    <d v="2026-01-03T00:00:00"/>
    <x v="2"/>
    <s v="Headphones"/>
    <s v="Rahul Mehta"/>
    <x v="2"/>
    <n v="4500"/>
    <n v="9000"/>
  </r>
  <r>
    <x v="3"/>
    <x v="3"/>
    <x v="3"/>
    <n v="1"/>
    <d v="2026-01-04T00:00:00"/>
    <x v="3"/>
    <s v="Monitor"/>
    <s v="Sneha Joshi"/>
    <x v="3"/>
    <n v="16000"/>
    <n v="16000"/>
  </r>
  <r>
    <x v="4"/>
    <x v="4"/>
    <x v="4"/>
    <n v="2"/>
    <d v="2026-01-05T00:00:00"/>
    <x v="4"/>
    <s v="Smartphone"/>
    <s v="Arjun Singh"/>
    <x v="4"/>
    <n v="32000"/>
    <n v="64000"/>
  </r>
  <r>
    <x v="5"/>
    <x v="5"/>
    <x v="5"/>
    <n v="1"/>
    <d v="2026-01-06T00:00:00"/>
    <x v="0"/>
    <s v="Office Chair"/>
    <s v="Neha Verma"/>
    <x v="0"/>
    <n v="8500"/>
    <n v="8500"/>
  </r>
  <r>
    <x v="6"/>
    <x v="6"/>
    <x v="6"/>
    <n v="1"/>
    <d v="2026-01-07T00:00:00"/>
    <x v="1"/>
    <s v="Printer"/>
    <s v="Rohan Gupta"/>
    <x v="1"/>
    <n v="12500"/>
    <n v="12500"/>
  </r>
  <r>
    <x v="7"/>
    <x v="7"/>
    <x v="7"/>
    <n v="2"/>
    <d v="2026-01-08T00:00:00"/>
    <x v="2"/>
    <s v="Webcam"/>
    <s v="Pooja Sharma"/>
    <x v="2"/>
    <n v="3500"/>
    <n v="7000"/>
  </r>
  <r>
    <x v="8"/>
    <x v="8"/>
    <x v="8"/>
    <n v="4"/>
    <d v="2026-01-09T00:00:00"/>
    <x v="3"/>
    <s v="Keyboard"/>
    <s v="Karan Desai"/>
    <x v="3"/>
    <n v="1800"/>
    <n v="7200"/>
  </r>
  <r>
    <x v="9"/>
    <x v="9"/>
    <x v="9"/>
    <n v="1"/>
    <d v="2026-01-10T00:00:00"/>
    <x v="4"/>
    <s v="Office Desk"/>
    <s v="Anjali Nair"/>
    <x v="4"/>
    <n v="12000"/>
    <n v="12000"/>
  </r>
  <r>
    <x v="10"/>
    <x v="1"/>
    <x v="0"/>
    <n v="5"/>
    <d v="2026-01-11T00:00:00"/>
    <x v="0"/>
    <s v="Mouse"/>
    <s v="Amit Patel"/>
    <x v="0"/>
    <n v="900"/>
    <n v="4500"/>
  </r>
  <r>
    <x v="11"/>
    <x v="2"/>
    <x v="1"/>
    <n v="3"/>
    <d v="2026-01-12T00:00:00"/>
    <x v="1"/>
    <s v="Headphones"/>
    <s v="Priya Shah"/>
    <x v="1"/>
    <n v="4500"/>
    <n v="13500"/>
  </r>
  <r>
    <x v="12"/>
    <x v="0"/>
    <x v="2"/>
    <n v="1"/>
    <d v="2026-01-13T00:00:00"/>
    <x v="2"/>
    <s v="Laptop"/>
    <s v="Rahul Mehta"/>
    <x v="2"/>
    <n v="55000"/>
    <n v="55000"/>
  </r>
  <r>
    <x v="13"/>
    <x v="3"/>
    <x v="3"/>
    <n v="2"/>
    <d v="2026-01-14T00:00:00"/>
    <x v="3"/>
    <s v="Monitor"/>
    <s v="Sneha Joshi"/>
    <x v="3"/>
    <n v="16000"/>
    <n v="32000"/>
  </r>
  <r>
    <x v="14"/>
    <x v="4"/>
    <x v="4"/>
    <n v="1"/>
    <d v="2026-01-15T00:00:00"/>
    <x v="4"/>
    <s v="Smartphone"/>
    <s v="Arjun Singh"/>
    <x v="4"/>
    <n v="32000"/>
    <n v="32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m/>
    <s v="SA001"/>
    <x v="0"/>
    <x v="0"/>
    <s v="Amit Patel"/>
    <s v="Alpha Store"/>
    <n v="1"/>
    <n v="55000"/>
    <n v="55000"/>
  </r>
  <r>
    <m/>
    <s v="SA002"/>
    <x v="1"/>
    <x v="1"/>
    <s v="Priya Shah"/>
    <s v="Beta Store"/>
    <n v="3"/>
    <n v="900"/>
    <n v="2700"/>
  </r>
  <r>
    <m/>
    <s v="SA003"/>
    <x v="2"/>
    <x v="0"/>
    <s v="Rahul Mehta"/>
    <s v="Central Store"/>
    <n v="2"/>
    <n v="4500"/>
    <n v="9000"/>
  </r>
  <r>
    <m/>
    <s v="SA004"/>
    <x v="3"/>
    <x v="0"/>
    <s v="Sneha Joshi"/>
    <s v="Digital Hub"/>
    <n v="1"/>
    <n v="16000"/>
    <n v="16000"/>
  </r>
  <r>
    <m/>
    <s v="SA005"/>
    <x v="4"/>
    <x v="0"/>
    <s v="Arjun Singh"/>
    <s v="Smart World"/>
    <n v="2"/>
    <n v="32000"/>
    <n v="64000"/>
  </r>
  <r>
    <m/>
    <s v="SA006"/>
    <x v="5"/>
    <x v="2"/>
    <s v="Neha Verma"/>
    <s v="Alpha Store"/>
    <n v="1"/>
    <n v="8500"/>
    <n v="8500"/>
  </r>
  <r>
    <m/>
    <s v="SA007"/>
    <x v="6"/>
    <x v="0"/>
    <s v="Rohan Gupta"/>
    <s v="Beta Store"/>
    <n v="1"/>
    <n v="12500"/>
    <n v="12500"/>
  </r>
  <r>
    <m/>
    <s v="SA008"/>
    <x v="7"/>
    <x v="1"/>
    <s v="Pooja Sharma"/>
    <s v="Central Store"/>
    <n v="2"/>
    <n v="3500"/>
    <n v="7000"/>
  </r>
  <r>
    <m/>
    <s v="SA009"/>
    <x v="8"/>
    <x v="1"/>
    <s v="Karan Desai"/>
    <s v="Digital Hub"/>
    <n v="4"/>
    <n v="1800"/>
    <n v="7200"/>
  </r>
  <r>
    <m/>
    <s v="SA010"/>
    <x v="9"/>
    <x v="2"/>
    <s v="Anjali Nair"/>
    <s v="Smart World"/>
    <n v="1"/>
    <n v="12000"/>
    <n v="12000"/>
  </r>
  <r>
    <m/>
    <s v="SA011"/>
    <x v="1"/>
    <x v="1"/>
    <s v="Amit Patel"/>
    <s v="Alpha Store"/>
    <n v="5"/>
    <n v="900"/>
    <n v="4500"/>
  </r>
  <r>
    <m/>
    <s v="SA012"/>
    <x v="2"/>
    <x v="0"/>
    <s v="Priya Shah"/>
    <s v="Beta Store"/>
    <n v="3"/>
    <n v="4500"/>
    <n v="13500"/>
  </r>
  <r>
    <m/>
    <s v="SA013"/>
    <x v="0"/>
    <x v="0"/>
    <s v="Rahul Mehta"/>
    <s v="Central Store"/>
    <n v="1"/>
    <n v="55000"/>
    <n v="55000"/>
  </r>
  <r>
    <m/>
    <s v="SA014"/>
    <x v="3"/>
    <x v="0"/>
    <s v="Sneha Joshi"/>
    <s v="Digital Hub"/>
    <n v="2"/>
    <n v="16000"/>
    <n v="32000"/>
  </r>
  <r>
    <m/>
    <s v="SA015"/>
    <x v="4"/>
    <x v="0"/>
    <s v="Arjun Singh"/>
    <s v="Smart World"/>
    <n v="1"/>
    <n v="32000"/>
    <n v="32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r>
  <r>
    <x v="1"/>
  </r>
  <r>
    <x v="2"/>
  </r>
  <r>
    <x v="3"/>
  </r>
  <r>
    <x v="4"/>
  </r>
  <r>
    <x v="0"/>
  </r>
  <r>
    <x v="1"/>
  </r>
  <r>
    <x v="2"/>
  </r>
  <r>
    <x v="3"/>
  </r>
  <r>
    <x v="4"/>
  </r>
  <r>
    <x v="0"/>
  </r>
  <r>
    <x v="1"/>
  </r>
  <r>
    <x v="2"/>
  </r>
  <r>
    <x v="3"/>
  </r>
  <r>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5D7240-4251-4315-B61D-A48CA8D02C14}"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3:G7" firstHeaderRow="1" firstDataRow="1" firstDataCol="1"/>
  <pivotFields count="9">
    <pivotField showAll="0"/>
    <pivotField showAll="0"/>
    <pivotField showAll="0">
      <items count="11">
        <item x="2"/>
        <item x="8"/>
        <item x="0"/>
        <item x="3"/>
        <item x="1"/>
        <item x="5"/>
        <item x="9"/>
        <item x="6"/>
        <item x="4"/>
        <item x="7"/>
        <item t="default"/>
      </items>
    </pivotField>
    <pivotField axis="axisRow" showAll="0">
      <items count="4">
        <item x="1"/>
        <item x="0"/>
        <item x="2"/>
        <item t="default"/>
      </items>
    </pivotField>
    <pivotField showAll="0"/>
    <pivotField showAll="0"/>
    <pivotField dataField="1" showAll="0"/>
    <pivotField showAll="0"/>
    <pivotField showAll="0"/>
  </pivotFields>
  <rowFields count="1">
    <field x="3"/>
  </rowFields>
  <rowItems count="4">
    <i>
      <x/>
    </i>
    <i>
      <x v="1"/>
    </i>
    <i>
      <x v="2"/>
    </i>
    <i t="grand">
      <x/>
    </i>
  </rowItems>
  <colItems count="1">
    <i/>
  </colItems>
  <dataFields count="1">
    <dataField name="Sum of Quantity" fld="6"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95850D-15F0-4C69-954B-0012CDA95C9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9" firstHeaderRow="0" firstDataRow="1" firstDataCol="1"/>
  <pivotFields count="11">
    <pivotField showAll="0"/>
    <pivotField showAll="0"/>
    <pivotField showAll="0"/>
    <pivotField dataField="1" showAll="0"/>
    <pivotField numFmtId="14" showAll="0"/>
    <pivotField showAll="0"/>
    <pivotField showAll="0"/>
    <pivotField showAll="0"/>
    <pivotField axis="axisRow" showAll="0">
      <items count="6">
        <item x="0"/>
        <item x="1"/>
        <item x="2"/>
        <item x="3"/>
        <item x="4"/>
        <item t="default"/>
      </items>
    </pivotField>
    <pivotField dataField="1" showAll="0"/>
    <pivotField dataField="1" showAll="0"/>
  </pivotFields>
  <rowFields count="1">
    <field x="8"/>
  </rowFields>
  <rowItems count="6">
    <i>
      <x/>
    </i>
    <i>
      <x v="1"/>
    </i>
    <i>
      <x v="2"/>
    </i>
    <i>
      <x v="3"/>
    </i>
    <i>
      <x v="4"/>
    </i>
    <i t="grand">
      <x/>
    </i>
  </rowItems>
  <colFields count="1">
    <field x="-2"/>
  </colFields>
  <colItems count="3">
    <i>
      <x/>
    </i>
    <i i="1">
      <x v="1"/>
    </i>
    <i i="2">
      <x v="2"/>
    </i>
  </colItems>
  <dataFields count="3">
    <dataField name="Sum of Quantity" fld="3" baseField="0" baseItem="0"/>
    <dataField name="Sum of Total Sales" fld="10" baseField="0" baseItem="0"/>
    <dataField name="Sum of Product Price" fld="9" baseField="0" baseItem="0"/>
  </dataFields>
  <chartFormats count="3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8" count="1" selected="0">
            <x v="0"/>
          </reference>
        </references>
      </pivotArea>
    </chartFormat>
    <chartFormat chart="3" format="5">
      <pivotArea type="data" outline="0" fieldPosition="0">
        <references count="2">
          <reference field="4294967294" count="1" selected="0">
            <x v="0"/>
          </reference>
          <reference field="8" count="1" selected="0">
            <x v="1"/>
          </reference>
        </references>
      </pivotArea>
    </chartFormat>
    <chartFormat chart="3" format="6">
      <pivotArea type="data" outline="0" fieldPosition="0">
        <references count="2">
          <reference field="4294967294" count="1" selected="0">
            <x v="0"/>
          </reference>
          <reference field="8" count="1" selected="0">
            <x v="2"/>
          </reference>
        </references>
      </pivotArea>
    </chartFormat>
    <chartFormat chart="3" format="7">
      <pivotArea type="data" outline="0" fieldPosition="0">
        <references count="2">
          <reference field="4294967294" count="1" selected="0">
            <x v="0"/>
          </reference>
          <reference field="8" count="1" selected="0">
            <x v="3"/>
          </reference>
        </references>
      </pivotArea>
    </chartFormat>
    <chartFormat chart="3" format="8">
      <pivotArea type="data" outline="0" fieldPosition="0">
        <references count="2">
          <reference field="4294967294" count="1" selected="0">
            <x v="0"/>
          </reference>
          <reference field="8" count="1" selected="0">
            <x v="4"/>
          </reference>
        </references>
      </pivotArea>
    </chartFormat>
    <chartFormat chart="3" format="9" series="1">
      <pivotArea type="data" outline="0" fieldPosition="0">
        <references count="1">
          <reference field="4294967294" count="1" selected="0">
            <x v="1"/>
          </reference>
        </references>
      </pivotArea>
    </chartFormat>
    <chartFormat chart="3" format="10">
      <pivotArea type="data" outline="0" fieldPosition="0">
        <references count="2">
          <reference field="4294967294" count="1" selected="0">
            <x v="1"/>
          </reference>
          <reference field="8" count="1" selected="0">
            <x v="0"/>
          </reference>
        </references>
      </pivotArea>
    </chartFormat>
    <chartFormat chart="3" format="11">
      <pivotArea type="data" outline="0" fieldPosition="0">
        <references count="2">
          <reference field="4294967294" count="1" selected="0">
            <x v="1"/>
          </reference>
          <reference field="8" count="1" selected="0">
            <x v="1"/>
          </reference>
        </references>
      </pivotArea>
    </chartFormat>
    <chartFormat chart="3" format="12">
      <pivotArea type="data" outline="0" fieldPosition="0">
        <references count="2">
          <reference field="4294967294" count="1" selected="0">
            <x v="1"/>
          </reference>
          <reference field="8" count="1" selected="0">
            <x v="2"/>
          </reference>
        </references>
      </pivotArea>
    </chartFormat>
    <chartFormat chart="3" format="13">
      <pivotArea type="data" outline="0" fieldPosition="0">
        <references count="2">
          <reference field="4294967294" count="1" selected="0">
            <x v="1"/>
          </reference>
          <reference field="8" count="1" selected="0">
            <x v="3"/>
          </reference>
        </references>
      </pivotArea>
    </chartFormat>
    <chartFormat chart="3" format="14">
      <pivotArea type="data" outline="0" fieldPosition="0">
        <references count="2">
          <reference field="4294967294" count="1" selected="0">
            <x v="1"/>
          </reference>
          <reference field="8" count="1" selected="0">
            <x v="4"/>
          </reference>
        </references>
      </pivotArea>
    </chartFormat>
    <chartFormat chart="3" format="15" series="1">
      <pivotArea type="data" outline="0" fieldPosition="0">
        <references count="1">
          <reference field="4294967294" count="1" selected="0">
            <x v="2"/>
          </reference>
        </references>
      </pivotArea>
    </chartFormat>
    <chartFormat chart="3" format="16">
      <pivotArea type="data" outline="0" fieldPosition="0">
        <references count="2">
          <reference field="4294967294" count="1" selected="0">
            <x v="2"/>
          </reference>
          <reference field="8" count="1" selected="0">
            <x v="0"/>
          </reference>
        </references>
      </pivotArea>
    </chartFormat>
    <chartFormat chart="3" format="17">
      <pivotArea type="data" outline="0" fieldPosition="0">
        <references count="2">
          <reference field="4294967294" count="1" selected="0">
            <x v="2"/>
          </reference>
          <reference field="8" count="1" selected="0">
            <x v="1"/>
          </reference>
        </references>
      </pivotArea>
    </chartFormat>
    <chartFormat chart="3" format="18">
      <pivotArea type="data" outline="0" fieldPosition="0">
        <references count="2">
          <reference field="4294967294" count="1" selected="0">
            <x v="2"/>
          </reference>
          <reference field="8" count="1" selected="0">
            <x v="2"/>
          </reference>
        </references>
      </pivotArea>
    </chartFormat>
    <chartFormat chart="3" format="19">
      <pivotArea type="data" outline="0" fieldPosition="0">
        <references count="2">
          <reference field="4294967294" count="1" selected="0">
            <x v="2"/>
          </reference>
          <reference field="8" count="1" selected="0">
            <x v="3"/>
          </reference>
        </references>
      </pivotArea>
    </chartFormat>
    <chartFormat chart="3" format="20">
      <pivotArea type="data" outline="0" fieldPosition="0">
        <references count="2">
          <reference field="4294967294" count="1" selected="0">
            <x v="2"/>
          </reference>
          <reference field="8" count="1" selected="0">
            <x v="4"/>
          </reference>
        </references>
      </pivotArea>
    </chartFormat>
    <chartFormat chart="4" format="21" series="1">
      <pivotArea type="data" outline="0" fieldPosition="0">
        <references count="1">
          <reference field="4294967294" count="1" selected="0">
            <x v="0"/>
          </reference>
        </references>
      </pivotArea>
    </chartFormat>
    <chartFormat chart="4" format="22">
      <pivotArea type="data" outline="0" fieldPosition="0">
        <references count="2">
          <reference field="4294967294" count="1" selected="0">
            <x v="0"/>
          </reference>
          <reference field="8" count="1" selected="0">
            <x v="0"/>
          </reference>
        </references>
      </pivotArea>
    </chartFormat>
    <chartFormat chart="4" format="23">
      <pivotArea type="data" outline="0" fieldPosition="0">
        <references count="2">
          <reference field="4294967294" count="1" selected="0">
            <x v="0"/>
          </reference>
          <reference field="8" count="1" selected="0">
            <x v="1"/>
          </reference>
        </references>
      </pivotArea>
    </chartFormat>
    <chartFormat chart="4" format="24">
      <pivotArea type="data" outline="0" fieldPosition="0">
        <references count="2">
          <reference field="4294967294" count="1" selected="0">
            <x v="0"/>
          </reference>
          <reference field="8" count="1" selected="0">
            <x v="2"/>
          </reference>
        </references>
      </pivotArea>
    </chartFormat>
    <chartFormat chart="4" format="25">
      <pivotArea type="data" outline="0" fieldPosition="0">
        <references count="2">
          <reference field="4294967294" count="1" selected="0">
            <x v="0"/>
          </reference>
          <reference field="8" count="1" selected="0">
            <x v="3"/>
          </reference>
        </references>
      </pivotArea>
    </chartFormat>
    <chartFormat chart="4" format="26">
      <pivotArea type="data" outline="0" fieldPosition="0">
        <references count="2">
          <reference field="4294967294" count="1" selected="0">
            <x v="0"/>
          </reference>
          <reference field="8" count="1" selected="0">
            <x v="4"/>
          </reference>
        </references>
      </pivotArea>
    </chartFormat>
    <chartFormat chart="4" format="27" series="1">
      <pivotArea type="data" outline="0" fieldPosition="0">
        <references count="1">
          <reference field="4294967294" count="1" selected="0">
            <x v="1"/>
          </reference>
        </references>
      </pivotArea>
    </chartFormat>
    <chartFormat chart="4" format="28">
      <pivotArea type="data" outline="0" fieldPosition="0">
        <references count="2">
          <reference field="4294967294" count="1" selected="0">
            <x v="1"/>
          </reference>
          <reference field="8" count="1" selected="0">
            <x v="0"/>
          </reference>
        </references>
      </pivotArea>
    </chartFormat>
    <chartFormat chart="4" format="29">
      <pivotArea type="data" outline="0" fieldPosition="0">
        <references count="2">
          <reference field="4294967294" count="1" selected="0">
            <x v="1"/>
          </reference>
          <reference field="8" count="1" selected="0">
            <x v="1"/>
          </reference>
        </references>
      </pivotArea>
    </chartFormat>
    <chartFormat chart="4" format="30">
      <pivotArea type="data" outline="0" fieldPosition="0">
        <references count="2">
          <reference field="4294967294" count="1" selected="0">
            <x v="1"/>
          </reference>
          <reference field="8" count="1" selected="0">
            <x v="2"/>
          </reference>
        </references>
      </pivotArea>
    </chartFormat>
    <chartFormat chart="4" format="31">
      <pivotArea type="data" outline="0" fieldPosition="0">
        <references count="2">
          <reference field="4294967294" count="1" selected="0">
            <x v="1"/>
          </reference>
          <reference field="8" count="1" selected="0">
            <x v="3"/>
          </reference>
        </references>
      </pivotArea>
    </chartFormat>
    <chartFormat chart="4" format="32">
      <pivotArea type="data" outline="0" fieldPosition="0">
        <references count="2">
          <reference field="4294967294" count="1" selected="0">
            <x v="1"/>
          </reference>
          <reference field="8" count="1" selected="0">
            <x v="4"/>
          </reference>
        </references>
      </pivotArea>
    </chartFormat>
    <chartFormat chart="4" format="33" series="1">
      <pivotArea type="data" outline="0" fieldPosition="0">
        <references count="1">
          <reference field="4294967294" count="1" selected="0">
            <x v="2"/>
          </reference>
        </references>
      </pivotArea>
    </chartFormat>
    <chartFormat chart="4" format="34">
      <pivotArea type="data" outline="0" fieldPosition="0">
        <references count="2">
          <reference field="4294967294" count="1" selected="0">
            <x v="2"/>
          </reference>
          <reference field="8" count="1" selected="0">
            <x v="0"/>
          </reference>
        </references>
      </pivotArea>
    </chartFormat>
    <chartFormat chart="4" format="35">
      <pivotArea type="data" outline="0" fieldPosition="0">
        <references count="2">
          <reference field="4294967294" count="1" selected="0">
            <x v="2"/>
          </reference>
          <reference field="8" count="1" selected="0">
            <x v="1"/>
          </reference>
        </references>
      </pivotArea>
    </chartFormat>
    <chartFormat chart="4" format="36">
      <pivotArea type="data" outline="0" fieldPosition="0">
        <references count="2">
          <reference field="4294967294" count="1" selected="0">
            <x v="2"/>
          </reference>
          <reference field="8" count="1" selected="0">
            <x v="2"/>
          </reference>
        </references>
      </pivotArea>
    </chartFormat>
    <chartFormat chart="4" format="37">
      <pivotArea type="data" outline="0" fieldPosition="0">
        <references count="2">
          <reference field="4294967294" count="1" selected="0">
            <x v="2"/>
          </reference>
          <reference field="8" count="1" selected="0">
            <x v="3"/>
          </reference>
        </references>
      </pivotArea>
    </chartFormat>
    <chartFormat chart="4" format="38">
      <pivotArea type="data" outline="0" fieldPosition="0">
        <references count="2">
          <reference field="4294967294" count="1" selected="0">
            <x v="2"/>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36ADB9-A447-4475-B09E-6E7BB28F12BA}"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L3:M14" firstHeaderRow="1" firstDataRow="1" firstDataCol="1"/>
  <pivotFields count="11">
    <pivotField showAll="0">
      <items count="16">
        <item x="0"/>
        <item x="1"/>
        <item x="2"/>
        <item x="3"/>
        <item x="4"/>
        <item x="5"/>
        <item x="6"/>
        <item x="7"/>
        <item x="8"/>
        <item x="9"/>
        <item x="10"/>
        <item x="11"/>
        <item x="12"/>
        <item x="13"/>
        <item x="14"/>
        <item t="default"/>
      </items>
    </pivotField>
    <pivotField showAll="0">
      <items count="11">
        <item x="0"/>
        <item x="4"/>
        <item x="2"/>
        <item x="8"/>
        <item x="1"/>
        <item x="6"/>
        <item x="5"/>
        <item x="9"/>
        <item x="3"/>
        <item x="7"/>
        <item t="default"/>
      </items>
    </pivotField>
    <pivotField axis="axisRow" showAll="0">
      <items count="11">
        <item x="0"/>
        <item x="1"/>
        <item x="2"/>
        <item x="3"/>
        <item x="4"/>
        <item x="5"/>
        <item x="6"/>
        <item x="7"/>
        <item x="8"/>
        <item x="9"/>
        <item t="default"/>
      </items>
    </pivotField>
    <pivotField dataField="1" showAll="0"/>
    <pivotField numFmtId="14" showAll="0"/>
    <pivotField showAll="0">
      <items count="6">
        <item x="0"/>
        <item x="1"/>
        <item x="2"/>
        <item x="3"/>
        <item x="4"/>
        <item t="default"/>
      </items>
    </pivotField>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Quantity" fld="3" baseField="0" baseItem="0"/>
  </dataFields>
  <chartFormats count="5">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FA827E-1EE5-42A0-9310-8E2A84E4E9AA}"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3:J14" firstHeaderRow="1" firstDataRow="1" firstDataCol="1"/>
  <pivotFields count="9">
    <pivotField showAll="0"/>
    <pivotField showAll="0"/>
    <pivotField axis="axisRow" showAll="0">
      <items count="11">
        <item x="2"/>
        <item x="8"/>
        <item x="0"/>
        <item x="3"/>
        <item x="1"/>
        <item x="5"/>
        <item x="9"/>
        <item x="6"/>
        <item x="4"/>
        <item x="7"/>
        <item t="default"/>
      </items>
    </pivotField>
    <pivotField showAll="0"/>
    <pivotField showAll="0"/>
    <pivotField showAll="0"/>
    <pivotField showAll="0"/>
    <pivotField dataField="1" showAll="0"/>
    <pivotField showAll="0"/>
  </pivotFields>
  <rowFields count="1">
    <field x="2"/>
  </rowFields>
  <rowItems count="11">
    <i>
      <x/>
    </i>
    <i>
      <x v="1"/>
    </i>
    <i>
      <x v="2"/>
    </i>
    <i>
      <x v="3"/>
    </i>
    <i>
      <x v="4"/>
    </i>
    <i>
      <x v="5"/>
    </i>
    <i>
      <x v="6"/>
    </i>
    <i>
      <x v="7"/>
    </i>
    <i>
      <x v="8"/>
    </i>
    <i>
      <x v="9"/>
    </i>
    <i t="grand">
      <x/>
    </i>
  </rowItems>
  <colItems count="1">
    <i/>
  </colItems>
  <dataFields count="1">
    <dataField name="Sum of Price" fld="7" baseField="0" baseItem="0"/>
  </dataFields>
  <chartFormats count="2">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25FAD7DA-7049-4680-9D77-452E0702B2AF}" sourceName="Store Name">
  <data>
    <tabular pivotCacheId="1729359748">
      <items count="5">
        <i x="0" s="1"/>
        <i x="1"/>
        <i x="2"/>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xr10:uid="{AC7118FA-08DF-4620-AE14-7CF5D08986A4}" cache="Slicer_Store_Name" caption="Store Nam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013E7-894B-453C-861D-92E75D75ED9E}">
  <sheetPr>
    <pageSetUpPr autoPageBreaks="0"/>
  </sheetPr>
  <dimension ref="A1:AC27"/>
  <sheetViews>
    <sheetView zoomScaleNormal="100" workbookViewId="0">
      <selection activeCell="P28" sqref="P28"/>
    </sheetView>
  </sheetViews>
  <sheetFormatPr defaultRowHeight="14.4" x14ac:dyDescent="0.3"/>
  <cols>
    <col min="1" max="1" width="9.33203125" bestFit="1" customWidth="1"/>
    <col min="2" max="3" width="12.5546875" bestFit="1" customWidth="1"/>
    <col min="4" max="4" width="10.109375" bestFit="1" customWidth="1"/>
    <col min="5" max="5" width="6.44140625" bestFit="1" customWidth="1"/>
    <col min="6" max="6" width="5.44140625" bestFit="1" customWidth="1"/>
    <col min="7" max="7" width="5.88671875" customWidth="1"/>
    <col min="8" max="8" width="11.5546875" bestFit="1" customWidth="1"/>
    <col min="9" max="9" width="14.21875" bestFit="1" customWidth="1"/>
    <col min="10" max="10" width="14.44140625" bestFit="1" customWidth="1"/>
    <col min="11" max="11" width="14.33203125" bestFit="1" customWidth="1"/>
    <col min="12" max="12" width="7" bestFit="1" customWidth="1"/>
    <col min="13" max="13" width="5.77734375" customWidth="1"/>
    <col min="14" max="14" width="7.33203125" bestFit="1" customWidth="1"/>
    <col min="15" max="16" width="11.44140625" bestFit="1" customWidth="1"/>
    <col min="17" max="17" width="11.21875" bestFit="1" customWidth="1"/>
    <col min="18" max="18" width="5.77734375" customWidth="1"/>
    <col min="19" max="19" width="6.44140625" bestFit="1" customWidth="1"/>
    <col min="20" max="20" width="9.33203125" bestFit="1" customWidth="1"/>
    <col min="21" max="21" width="10.88671875" bestFit="1" customWidth="1"/>
    <col min="22" max="22" width="7.6640625" bestFit="1" customWidth="1"/>
    <col min="23" max="23" width="10.33203125" bestFit="1" customWidth="1"/>
    <col min="24" max="24" width="7.21875" bestFit="1" customWidth="1"/>
    <col min="25" max="25" width="12.5546875" bestFit="1" customWidth="1"/>
    <col min="26" max="26" width="14.21875" bestFit="1" customWidth="1"/>
    <col min="27" max="27" width="11.44140625" bestFit="1" customWidth="1"/>
    <col min="28" max="28" width="14.21875" bestFit="1" customWidth="1"/>
    <col min="29" max="30" width="11.44140625" bestFit="1" customWidth="1"/>
    <col min="31" max="32" width="11.88671875" bestFit="1" customWidth="1"/>
    <col min="33" max="33" width="11.44140625" bestFit="1" customWidth="1"/>
    <col min="34" max="34" width="7.33203125" bestFit="1" customWidth="1"/>
    <col min="35" max="35" width="11.88671875" bestFit="1" customWidth="1"/>
  </cols>
  <sheetData>
    <row r="1" spans="1:29" x14ac:dyDescent="0.3">
      <c r="A1" s="2" t="s">
        <v>0</v>
      </c>
      <c r="B1" s="2" t="s">
        <v>1</v>
      </c>
      <c r="C1" s="2" t="s">
        <v>2</v>
      </c>
      <c r="D1" s="2" t="s">
        <v>3</v>
      </c>
      <c r="E1" s="2" t="s">
        <v>4</v>
      </c>
      <c r="F1" s="2" t="s">
        <v>5</v>
      </c>
      <c r="H1" s="2" t="s">
        <v>28</v>
      </c>
      <c r="I1" s="2" t="s">
        <v>29</v>
      </c>
      <c r="J1" s="2" t="s">
        <v>30</v>
      </c>
      <c r="K1" s="2" t="s">
        <v>31</v>
      </c>
      <c r="L1" s="2" t="s">
        <v>32</v>
      </c>
      <c r="N1" s="2" t="s">
        <v>71</v>
      </c>
      <c r="O1" s="2" t="s">
        <v>72</v>
      </c>
      <c r="P1" s="2" t="s">
        <v>30</v>
      </c>
      <c r="Q1" s="2" t="s">
        <v>31</v>
      </c>
      <c r="S1" s="2" t="s">
        <v>84</v>
      </c>
      <c r="T1" s="2" t="s">
        <v>0</v>
      </c>
      <c r="U1" s="2" t="s">
        <v>110</v>
      </c>
      <c r="V1" s="2" t="s">
        <v>111</v>
      </c>
      <c r="W1" s="2" t="s">
        <v>112</v>
      </c>
      <c r="X1" s="2" t="s">
        <v>71</v>
      </c>
      <c r="Y1" s="7" t="s">
        <v>1</v>
      </c>
      <c r="Z1" s="7" t="s">
        <v>29</v>
      </c>
      <c r="AA1" s="7" t="s">
        <v>72</v>
      </c>
      <c r="AB1" s="7" t="s">
        <v>125</v>
      </c>
      <c r="AC1" s="7" t="s">
        <v>129</v>
      </c>
    </row>
    <row r="2" spans="1:29" x14ac:dyDescent="0.3">
      <c r="A2" s="2" t="s">
        <v>100</v>
      </c>
      <c r="B2" s="2" t="s">
        <v>6</v>
      </c>
      <c r="C2" s="2" t="s">
        <v>16</v>
      </c>
      <c r="D2" s="2" t="s">
        <v>19</v>
      </c>
      <c r="E2" s="2">
        <v>55000</v>
      </c>
      <c r="F2" s="2">
        <v>25</v>
      </c>
      <c r="H2" s="2" t="s">
        <v>33</v>
      </c>
      <c r="I2" s="2" t="s">
        <v>43</v>
      </c>
      <c r="J2" s="2" t="s">
        <v>83</v>
      </c>
      <c r="K2" s="2" t="s">
        <v>62</v>
      </c>
      <c r="L2" s="2" t="s">
        <v>69</v>
      </c>
      <c r="N2" s="2" t="s">
        <v>73</v>
      </c>
      <c r="O2" s="2" t="s">
        <v>78</v>
      </c>
      <c r="P2" s="2" t="s">
        <v>83</v>
      </c>
      <c r="Q2" s="2" t="s">
        <v>62</v>
      </c>
      <c r="S2" s="2" t="s">
        <v>85</v>
      </c>
      <c r="T2" s="2" t="s">
        <v>100</v>
      </c>
      <c r="U2" s="2" t="s">
        <v>33</v>
      </c>
      <c r="V2" s="2">
        <v>1</v>
      </c>
      <c r="W2" s="14">
        <v>46023</v>
      </c>
      <c r="X2" s="2" t="s">
        <v>73</v>
      </c>
      <c r="Y2" s="6" t="str" cm="1">
        <f t="array" ref="Y2:Y16">INDEX(B1:B11,MATCH(T2:T16,A1:A11,0))</f>
        <v>Laptop</v>
      </c>
      <c r="Z2" s="6" t="str" cm="1">
        <f t="array" ref="Z2:Z16">INDEX(I1:I11,MATCH(U2:U16,H1:H11,0))</f>
        <v>Amit Patel</v>
      </c>
      <c r="AA2" s="6" t="str" cm="1">
        <f t="array" ref="AA2:AA16">INDEX(O2:O6,MATCH(X2:X16,N2:N6,0))</f>
        <v>Alpha Store</v>
      </c>
      <c r="AB2" s="10" cm="1">
        <f t="array" ref="AB2:AB16">INDEX(E2:E11,MATCH(T2:T16,A2:A11,0))</f>
        <v>55000</v>
      </c>
      <c r="AC2" s="6">
        <f>V2*AB2</f>
        <v>55000</v>
      </c>
    </row>
    <row r="3" spans="1:29" x14ac:dyDescent="0.3">
      <c r="A3" s="2" t="s">
        <v>101</v>
      </c>
      <c r="B3" s="2" t="s">
        <v>7</v>
      </c>
      <c r="C3" s="2" t="s">
        <v>16</v>
      </c>
      <c r="D3" s="2" t="s">
        <v>20</v>
      </c>
      <c r="E3" s="2">
        <v>32000</v>
      </c>
      <c r="F3" s="2">
        <v>40</v>
      </c>
      <c r="H3" s="2" t="s">
        <v>34</v>
      </c>
      <c r="I3" s="2" t="s">
        <v>44</v>
      </c>
      <c r="J3" s="2" t="s">
        <v>53</v>
      </c>
      <c r="K3" s="2" t="s">
        <v>63</v>
      </c>
      <c r="L3" s="2" t="s">
        <v>70</v>
      </c>
      <c r="N3" s="2" t="s">
        <v>74</v>
      </c>
      <c r="O3" s="2" t="s">
        <v>79</v>
      </c>
      <c r="P3" s="2" t="s">
        <v>53</v>
      </c>
      <c r="Q3" s="2" t="s">
        <v>62</v>
      </c>
      <c r="S3" s="2" t="s">
        <v>86</v>
      </c>
      <c r="T3" s="2" t="s">
        <v>104</v>
      </c>
      <c r="U3" s="2" t="s">
        <v>34</v>
      </c>
      <c r="V3" s="2">
        <v>3</v>
      </c>
      <c r="W3" s="14">
        <v>46024</v>
      </c>
      <c r="X3" s="2" t="s">
        <v>74</v>
      </c>
      <c r="Y3" s="6" t="str">
        <v>Mouse</v>
      </c>
      <c r="Z3" s="6" t="str">
        <v>Priya Shah</v>
      </c>
      <c r="AA3" s="6" t="str">
        <v>Beta Store</v>
      </c>
      <c r="AB3" s="6">
        <v>900</v>
      </c>
      <c r="AC3" s="6">
        <f t="shared" ref="AC3:AC16" si="0">V3*AB3</f>
        <v>2700</v>
      </c>
    </row>
    <row r="4" spans="1:29" x14ac:dyDescent="0.3">
      <c r="A4" s="2" t="s">
        <v>102</v>
      </c>
      <c r="B4" s="2" t="s">
        <v>8</v>
      </c>
      <c r="C4" s="2" t="s">
        <v>16</v>
      </c>
      <c r="D4" s="2" t="s">
        <v>21</v>
      </c>
      <c r="E4" s="2">
        <v>4500</v>
      </c>
      <c r="F4" s="2">
        <v>80</v>
      </c>
      <c r="H4" s="2" t="s">
        <v>35</v>
      </c>
      <c r="I4" s="2" t="s">
        <v>45</v>
      </c>
      <c r="J4" s="2" t="s">
        <v>54</v>
      </c>
      <c r="K4" s="2" t="s">
        <v>64</v>
      </c>
      <c r="L4" s="2" t="s">
        <v>69</v>
      </c>
      <c r="N4" s="2" t="s">
        <v>75</v>
      </c>
      <c r="O4" s="2" t="s">
        <v>80</v>
      </c>
      <c r="P4" s="2" t="s">
        <v>54</v>
      </c>
      <c r="Q4" s="2" t="s">
        <v>64</v>
      </c>
      <c r="S4" s="2" t="s">
        <v>87</v>
      </c>
      <c r="T4" s="2" t="s">
        <v>102</v>
      </c>
      <c r="U4" s="2" t="s">
        <v>35</v>
      </c>
      <c r="V4" s="2">
        <v>2</v>
      </c>
      <c r="W4" s="14">
        <v>46025</v>
      </c>
      <c r="X4" s="2" t="s">
        <v>75</v>
      </c>
      <c r="Y4" s="6" t="str">
        <v>Headphones</v>
      </c>
      <c r="Z4" s="6" t="str">
        <v>Rahul Mehta</v>
      </c>
      <c r="AA4" s="6" t="str">
        <v>Central Store</v>
      </c>
      <c r="AB4" s="6">
        <v>4500</v>
      </c>
      <c r="AC4" s="6">
        <f t="shared" si="0"/>
        <v>9000</v>
      </c>
    </row>
    <row r="5" spans="1:29" x14ac:dyDescent="0.3">
      <c r="A5" s="2" t="s">
        <v>103</v>
      </c>
      <c r="B5" s="2" t="s">
        <v>9</v>
      </c>
      <c r="C5" s="2" t="s">
        <v>17</v>
      </c>
      <c r="D5" s="2" t="s">
        <v>22</v>
      </c>
      <c r="E5" s="2">
        <v>1800</v>
      </c>
      <c r="F5" s="2">
        <v>65</v>
      </c>
      <c r="H5" s="2" t="s">
        <v>36</v>
      </c>
      <c r="I5" s="2" t="s">
        <v>46</v>
      </c>
      <c r="J5" s="2" t="s">
        <v>55</v>
      </c>
      <c r="K5" s="2" t="s">
        <v>64</v>
      </c>
      <c r="L5" s="2" t="s">
        <v>70</v>
      </c>
      <c r="N5" s="2" t="s">
        <v>76</v>
      </c>
      <c r="O5" s="2" t="s">
        <v>81</v>
      </c>
      <c r="P5" s="2" t="s">
        <v>55</v>
      </c>
      <c r="Q5" s="2" t="s">
        <v>64</v>
      </c>
      <c r="S5" s="2" t="s">
        <v>88</v>
      </c>
      <c r="T5" s="2" t="s">
        <v>108</v>
      </c>
      <c r="U5" s="2" t="s">
        <v>36</v>
      </c>
      <c r="V5" s="2">
        <v>1</v>
      </c>
      <c r="W5" s="14">
        <v>46026</v>
      </c>
      <c r="X5" s="2" t="s">
        <v>76</v>
      </c>
      <c r="Y5" s="6" t="str">
        <v>Monitor</v>
      </c>
      <c r="Z5" s="6" t="str">
        <v>Sneha Joshi</v>
      </c>
      <c r="AA5" s="6" t="str">
        <v>Digital Hub</v>
      </c>
      <c r="AB5" s="6">
        <v>16000</v>
      </c>
      <c r="AC5" s="6">
        <f t="shared" si="0"/>
        <v>16000</v>
      </c>
    </row>
    <row r="6" spans="1:29" x14ac:dyDescent="0.3">
      <c r="A6" s="2" t="s">
        <v>104</v>
      </c>
      <c r="B6" s="2" t="s">
        <v>10</v>
      </c>
      <c r="C6" s="2" t="s">
        <v>17</v>
      </c>
      <c r="D6" s="2" t="s">
        <v>23</v>
      </c>
      <c r="E6" s="2">
        <v>900</v>
      </c>
      <c r="F6" s="2">
        <v>120</v>
      </c>
      <c r="H6" s="2" t="s">
        <v>37</v>
      </c>
      <c r="I6" s="2" t="s">
        <v>47</v>
      </c>
      <c r="J6" s="2" t="s">
        <v>56</v>
      </c>
      <c r="K6" s="2" t="s">
        <v>65</v>
      </c>
      <c r="L6" s="2" t="s">
        <v>69</v>
      </c>
      <c r="N6" s="2" t="s">
        <v>77</v>
      </c>
      <c r="O6" s="2" t="s">
        <v>82</v>
      </c>
      <c r="P6" s="2" t="s">
        <v>56</v>
      </c>
      <c r="Q6" s="2" t="s">
        <v>65</v>
      </c>
      <c r="S6" s="2" t="s">
        <v>89</v>
      </c>
      <c r="T6" s="2" t="s">
        <v>101</v>
      </c>
      <c r="U6" s="2" t="s">
        <v>37</v>
      </c>
      <c r="V6" s="2">
        <v>2</v>
      </c>
      <c r="W6" s="14">
        <v>46027</v>
      </c>
      <c r="X6" s="2" t="s">
        <v>77</v>
      </c>
      <c r="Y6" s="6" t="str">
        <v>Smartphone</v>
      </c>
      <c r="Z6" s="6" t="str">
        <v>Arjun Singh</v>
      </c>
      <c r="AA6" s="6" t="str">
        <v>Smart World</v>
      </c>
      <c r="AB6" s="6">
        <v>32000</v>
      </c>
      <c r="AC6" s="6">
        <f t="shared" si="0"/>
        <v>64000</v>
      </c>
    </row>
    <row r="7" spans="1:29" x14ac:dyDescent="0.3">
      <c r="A7" s="2" t="s">
        <v>105</v>
      </c>
      <c r="B7" s="2" t="s">
        <v>11</v>
      </c>
      <c r="C7" s="2" t="s">
        <v>16</v>
      </c>
      <c r="D7" s="2" t="s">
        <v>24</v>
      </c>
      <c r="E7" s="2">
        <v>12500</v>
      </c>
      <c r="F7" s="2">
        <v>18</v>
      </c>
      <c r="H7" s="2" t="s">
        <v>38</v>
      </c>
      <c r="I7" s="2" t="s">
        <v>48</v>
      </c>
      <c r="J7" s="2" t="s">
        <v>57</v>
      </c>
      <c r="K7" s="2" t="s">
        <v>57</v>
      </c>
      <c r="L7" s="2" t="s">
        <v>70</v>
      </c>
      <c r="S7" s="2" t="s">
        <v>90</v>
      </c>
      <c r="T7" s="2" t="s">
        <v>106</v>
      </c>
      <c r="U7" s="2" t="s">
        <v>38</v>
      </c>
      <c r="V7" s="2">
        <v>1</v>
      </c>
      <c r="W7" s="14">
        <v>46028</v>
      </c>
      <c r="X7" s="2" t="s">
        <v>73</v>
      </c>
      <c r="Y7" s="6" t="str">
        <v>Office Chair</v>
      </c>
      <c r="Z7" s="6" t="str">
        <v>Neha Verma</v>
      </c>
      <c r="AA7" s="6" t="str">
        <v>Alpha Store</v>
      </c>
      <c r="AB7" s="6">
        <v>8500</v>
      </c>
      <c r="AC7" s="6">
        <f t="shared" si="0"/>
        <v>8500</v>
      </c>
    </row>
    <row r="8" spans="1:29" x14ac:dyDescent="0.3">
      <c r="A8" s="2" t="s">
        <v>106</v>
      </c>
      <c r="B8" s="2" t="s">
        <v>12</v>
      </c>
      <c r="C8" s="2" t="s">
        <v>18</v>
      </c>
      <c r="D8" s="2" t="s">
        <v>25</v>
      </c>
      <c r="E8" s="2">
        <v>8500</v>
      </c>
      <c r="F8" s="2">
        <v>20</v>
      </c>
      <c r="H8" s="2" t="s">
        <v>39</v>
      </c>
      <c r="I8" s="2" t="s">
        <v>49</v>
      </c>
      <c r="J8" s="2" t="s">
        <v>58</v>
      </c>
      <c r="K8" s="2" t="s">
        <v>66</v>
      </c>
      <c r="L8" s="2" t="s">
        <v>69</v>
      </c>
      <c r="S8" s="2" t="s">
        <v>91</v>
      </c>
      <c r="T8" s="2" t="s">
        <v>105</v>
      </c>
      <c r="U8" s="2" t="s">
        <v>39</v>
      </c>
      <c r="V8" s="2">
        <v>1</v>
      </c>
      <c r="W8" s="14">
        <v>46029</v>
      </c>
      <c r="X8" s="2" t="s">
        <v>74</v>
      </c>
      <c r="Y8" s="6" t="str">
        <v>Printer</v>
      </c>
      <c r="Z8" s="6" t="str">
        <v>Rohan Gupta</v>
      </c>
      <c r="AA8" s="6" t="str">
        <v>Beta Store</v>
      </c>
      <c r="AB8" s="6">
        <v>12500</v>
      </c>
      <c r="AC8" s="6">
        <f t="shared" si="0"/>
        <v>12500</v>
      </c>
    </row>
    <row r="9" spans="1:29" x14ac:dyDescent="0.3">
      <c r="A9" s="2" t="s">
        <v>107</v>
      </c>
      <c r="B9" s="2" t="s">
        <v>13</v>
      </c>
      <c r="C9" s="2" t="s">
        <v>18</v>
      </c>
      <c r="D9" s="2" t="s">
        <v>26</v>
      </c>
      <c r="E9" s="2">
        <v>12000</v>
      </c>
      <c r="F9" s="2">
        <v>15</v>
      </c>
      <c r="H9" s="2" t="s">
        <v>40</v>
      </c>
      <c r="I9" s="2" t="s">
        <v>50</v>
      </c>
      <c r="J9" s="2" t="s">
        <v>59</v>
      </c>
      <c r="K9" s="2" t="s">
        <v>67</v>
      </c>
      <c r="L9" s="2" t="s">
        <v>70</v>
      </c>
      <c r="S9" s="2" t="s">
        <v>92</v>
      </c>
      <c r="T9" s="2" t="s">
        <v>109</v>
      </c>
      <c r="U9" s="2" t="s">
        <v>40</v>
      </c>
      <c r="V9" s="2">
        <v>2</v>
      </c>
      <c r="W9" s="14">
        <v>46030</v>
      </c>
      <c r="X9" s="2" t="s">
        <v>75</v>
      </c>
      <c r="Y9" s="6" t="str">
        <v>Webcam</v>
      </c>
      <c r="Z9" s="6" t="str">
        <v>Pooja Sharma</v>
      </c>
      <c r="AA9" s="6" t="str">
        <v>Central Store</v>
      </c>
      <c r="AB9" s="6">
        <v>3500</v>
      </c>
      <c r="AC9" s="6">
        <f t="shared" si="0"/>
        <v>7000</v>
      </c>
    </row>
    <row r="10" spans="1:29" x14ac:dyDescent="0.3">
      <c r="A10" s="2" t="s">
        <v>108</v>
      </c>
      <c r="B10" s="2" t="s">
        <v>14</v>
      </c>
      <c r="C10" s="2" t="s">
        <v>16</v>
      </c>
      <c r="D10" s="2" t="s">
        <v>27</v>
      </c>
      <c r="E10" s="2">
        <v>16000</v>
      </c>
      <c r="F10" s="2">
        <v>30</v>
      </c>
      <c r="H10" s="2" t="s">
        <v>41</v>
      </c>
      <c r="I10" s="2" t="s">
        <v>51</v>
      </c>
      <c r="J10" s="2" t="s">
        <v>60</v>
      </c>
      <c r="K10" s="2" t="s">
        <v>62</v>
      </c>
      <c r="L10" s="2" t="s">
        <v>69</v>
      </c>
      <c r="N10" s="5" t="s">
        <v>122</v>
      </c>
      <c r="O10" s="8" t="s">
        <v>71</v>
      </c>
      <c r="P10" s="8" t="s">
        <v>72</v>
      </c>
      <c r="S10" s="2" t="s">
        <v>93</v>
      </c>
      <c r="T10" s="2" t="s">
        <v>103</v>
      </c>
      <c r="U10" s="2" t="s">
        <v>41</v>
      </c>
      <c r="V10" s="2">
        <v>4</v>
      </c>
      <c r="W10" s="14">
        <v>46031</v>
      </c>
      <c r="X10" s="2" t="s">
        <v>76</v>
      </c>
      <c r="Y10" s="6" t="str">
        <v>Keyboard</v>
      </c>
      <c r="Z10" s="6" t="str">
        <v>Karan Desai</v>
      </c>
      <c r="AA10" s="6" t="str">
        <v>Digital Hub</v>
      </c>
      <c r="AB10" s="6">
        <v>1800</v>
      </c>
      <c r="AC10" s="6">
        <f t="shared" si="0"/>
        <v>7200</v>
      </c>
    </row>
    <row r="11" spans="1:29" x14ac:dyDescent="0.3">
      <c r="A11" s="2" t="s">
        <v>109</v>
      </c>
      <c r="B11" s="2" t="s">
        <v>15</v>
      </c>
      <c r="C11" s="2" t="s">
        <v>17</v>
      </c>
      <c r="D11" s="2" t="s">
        <v>22</v>
      </c>
      <c r="E11" s="2">
        <v>3500</v>
      </c>
      <c r="F11" s="2">
        <v>50</v>
      </c>
      <c r="H11" s="2" t="s">
        <v>42</v>
      </c>
      <c r="I11" s="2" t="s">
        <v>52</v>
      </c>
      <c r="J11" s="2" t="s">
        <v>61</v>
      </c>
      <c r="K11" s="2" t="s">
        <v>68</v>
      </c>
      <c r="L11" s="2" t="s">
        <v>70</v>
      </c>
      <c r="N11" s="3"/>
      <c r="O11" s="9" t="s">
        <v>75</v>
      </c>
      <c r="P11" s="9" t="str">
        <f>_xlfn.XLOOKUP(O11,N1:N6,O1:O6)</f>
        <v>Central Store</v>
      </c>
      <c r="S11" s="2" t="s">
        <v>94</v>
      </c>
      <c r="T11" s="2" t="s">
        <v>107</v>
      </c>
      <c r="U11" s="2" t="s">
        <v>42</v>
      </c>
      <c r="V11" s="2">
        <v>1</v>
      </c>
      <c r="W11" s="14">
        <v>46032</v>
      </c>
      <c r="X11" s="2" t="s">
        <v>77</v>
      </c>
      <c r="Y11" s="6" t="str">
        <v>Office Desk</v>
      </c>
      <c r="Z11" s="6" t="str">
        <v>Anjali Nair</v>
      </c>
      <c r="AA11" s="6" t="str">
        <v>Smart World</v>
      </c>
      <c r="AB11" s="6">
        <v>12000</v>
      </c>
      <c r="AC11" s="6">
        <f t="shared" si="0"/>
        <v>12000</v>
      </c>
    </row>
    <row r="12" spans="1:29" x14ac:dyDescent="0.3">
      <c r="N12" s="3"/>
      <c r="O12" s="3"/>
      <c r="P12" s="3"/>
      <c r="S12" s="2" t="s">
        <v>95</v>
      </c>
      <c r="T12" s="2" t="s">
        <v>104</v>
      </c>
      <c r="U12" s="2" t="s">
        <v>33</v>
      </c>
      <c r="V12" s="2">
        <v>5</v>
      </c>
      <c r="W12" s="14">
        <v>46033</v>
      </c>
      <c r="X12" s="2" t="s">
        <v>73</v>
      </c>
      <c r="Y12" s="6" t="str">
        <v>Mouse</v>
      </c>
      <c r="Z12" s="6" t="str">
        <v>Amit Patel</v>
      </c>
      <c r="AA12" s="6" t="str">
        <v>Alpha Store</v>
      </c>
      <c r="AB12" s="6">
        <v>900</v>
      </c>
      <c r="AC12" s="6">
        <f t="shared" si="0"/>
        <v>4500</v>
      </c>
    </row>
    <row r="13" spans="1:29" x14ac:dyDescent="0.3">
      <c r="N13" s="5" t="s">
        <v>123</v>
      </c>
      <c r="O13" s="8" t="s">
        <v>71</v>
      </c>
      <c r="P13" s="8" t="s">
        <v>30</v>
      </c>
      <c r="S13" s="2" t="s">
        <v>96</v>
      </c>
      <c r="T13" s="2" t="s">
        <v>102</v>
      </c>
      <c r="U13" s="2" t="s">
        <v>34</v>
      </c>
      <c r="V13" s="2">
        <v>3</v>
      </c>
      <c r="W13" s="14">
        <v>46034</v>
      </c>
      <c r="X13" s="2" t="s">
        <v>74</v>
      </c>
      <c r="Y13" s="6" t="str">
        <v>Headphones</v>
      </c>
      <c r="Z13" s="6" t="str">
        <v>Priya Shah</v>
      </c>
      <c r="AA13" s="6" t="str">
        <v>Beta Store</v>
      </c>
      <c r="AB13" s="6">
        <v>4500</v>
      </c>
      <c r="AC13" s="6">
        <f t="shared" si="0"/>
        <v>13500</v>
      </c>
    </row>
    <row r="14" spans="1:29" x14ac:dyDescent="0.3">
      <c r="A14" s="4" t="s">
        <v>113</v>
      </c>
      <c r="B14" s="7" t="s">
        <v>0</v>
      </c>
      <c r="C14" s="7" t="s">
        <v>1</v>
      </c>
      <c r="H14" s="5" t="s">
        <v>118</v>
      </c>
      <c r="I14" s="8" t="s">
        <v>28</v>
      </c>
      <c r="J14" s="8" t="s">
        <v>29</v>
      </c>
      <c r="N14" s="3"/>
      <c r="O14" s="9" t="s">
        <v>77</v>
      </c>
      <c r="P14" s="9" t="str">
        <f>_xlfn.XLOOKUP(O14,N1:N6,P1:P6)</f>
        <v>Jaipur</v>
      </c>
      <c r="S14" s="2" t="s">
        <v>97</v>
      </c>
      <c r="T14" s="2" t="s">
        <v>100</v>
      </c>
      <c r="U14" s="2" t="s">
        <v>35</v>
      </c>
      <c r="V14" s="2">
        <v>1</v>
      </c>
      <c r="W14" s="14">
        <v>46035</v>
      </c>
      <c r="X14" s="2" t="s">
        <v>75</v>
      </c>
      <c r="Y14" s="6" t="str">
        <v>Laptop</v>
      </c>
      <c r="Z14" s="6" t="str">
        <v>Rahul Mehta</v>
      </c>
      <c r="AA14" s="6" t="str">
        <v>Central Store</v>
      </c>
      <c r="AB14" s="6">
        <v>55000</v>
      </c>
      <c r="AC14" s="6">
        <f t="shared" si="0"/>
        <v>55000</v>
      </c>
    </row>
    <row r="15" spans="1:29" x14ac:dyDescent="0.3">
      <c r="A15" s="1"/>
      <c r="B15" s="6" t="s">
        <v>105</v>
      </c>
      <c r="C15" s="6" t="str">
        <f>_xlfn.XLOOKUP(B15,A1:A11,B1:B11)</f>
        <v>Printer</v>
      </c>
      <c r="H15" s="3"/>
      <c r="I15" s="9" t="s">
        <v>39</v>
      </c>
      <c r="J15" s="9" t="str">
        <f>_xlfn.XLOOKUP(I15,H1:H11,I1:I11)</f>
        <v>Rohan Gupta</v>
      </c>
      <c r="N15" s="3"/>
      <c r="O15" s="3"/>
      <c r="P15" s="3"/>
      <c r="S15" s="2" t="s">
        <v>98</v>
      </c>
      <c r="T15" s="2" t="s">
        <v>108</v>
      </c>
      <c r="U15" s="2" t="s">
        <v>36</v>
      </c>
      <c r="V15" s="2">
        <v>2</v>
      </c>
      <c r="W15" s="14">
        <v>46036</v>
      </c>
      <c r="X15" s="2" t="s">
        <v>76</v>
      </c>
      <c r="Y15" s="6" t="str">
        <v>Monitor</v>
      </c>
      <c r="Z15" s="6" t="str">
        <v>Sneha Joshi</v>
      </c>
      <c r="AA15" s="6" t="str">
        <v>Digital Hub</v>
      </c>
      <c r="AB15" s="6">
        <v>16000</v>
      </c>
      <c r="AC15" s="6">
        <f t="shared" si="0"/>
        <v>32000</v>
      </c>
    </row>
    <row r="16" spans="1:29" x14ac:dyDescent="0.3">
      <c r="A16" s="1"/>
      <c r="B16" s="1"/>
      <c r="C16" s="1"/>
      <c r="H16" s="3"/>
      <c r="I16" s="3"/>
      <c r="J16" s="3"/>
      <c r="N16" s="5" t="s">
        <v>124</v>
      </c>
      <c r="O16" s="8" t="s">
        <v>71</v>
      </c>
      <c r="P16" s="8" t="s">
        <v>31</v>
      </c>
      <c r="S16" s="2" t="s">
        <v>99</v>
      </c>
      <c r="T16" s="2" t="s">
        <v>101</v>
      </c>
      <c r="U16" s="2" t="s">
        <v>37</v>
      </c>
      <c r="V16" s="2">
        <v>1</v>
      </c>
      <c r="W16" s="14">
        <v>46037</v>
      </c>
      <c r="X16" s="2" t="s">
        <v>77</v>
      </c>
      <c r="Y16" s="6" t="str">
        <v>Smartphone</v>
      </c>
      <c r="Z16" s="6" t="str">
        <v>Arjun Singh</v>
      </c>
      <c r="AA16" s="6" t="str">
        <v>Smart World</v>
      </c>
      <c r="AB16" s="6">
        <v>32000</v>
      </c>
      <c r="AC16" s="6">
        <f t="shared" si="0"/>
        <v>32000</v>
      </c>
    </row>
    <row r="17" spans="1:22" x14ac:dyDescent="0.3">
      <c r="A17" s="4" t="s">
        <v>114</v>
      </c>
      <c r="B17" s="7" t="s">
        <v>0</v>
      </c>
      <c r="C17" s="7" t="s">
        <v>4</v>
      </c>
      <c r="H17" s="5" t="s">
        <v>119</v>
      </c>
      <c r="I17" s="8" t="s">
        <v>28</v>
      </c>
      <c r="J17" s="8" t="s">
        <v>30</v>
      </c>
      <c r="N17" s="3"/>
      <c r="O17" s="9" t="s">
        <v>74</v>
      </c>
      <c r="P17" s="9" t="str">
        <f>_xlfn.XLOOKUP(O17,N1:N6,Q1:Q6)</f>
        <v>Gujarat</v>
      </c>
    </row>
    <row r="18" spans="1:22" x14ac:dyDescent="0.3">
      <c r="A18" s="1"/>
      <c r="B18" s="6" t="s">
        <v>107</v>
      </c>
      <c r="C18" s="6">
        <f>_xlfn.XLOOKUP(B18,A1:A11,E1:E11)</f>
        <v>12000</v>
      </c>
      <c r="H18" s="3"/>
      <c r="I18" s="9" t="s">
        <v>42</v>
      </c>
      <c r="J18" s="9" t="str">
        <f>_xlfn.XLOOKUP(I18,H1:H11,J1:J11)</f>
        <v>Kochi</v>
      </c>
    </row>
    <row r="19" spans="1:22" x14ac:dyDescent="0.3">
      <c r="A19" s="1"/>
      <c r="B19" s="1"/>
      <c r="C19" s="1"/>
      <c r="H19" s="3"/>
      <c r="I19" s="3"/>
      <c r="J19" s="3"/>
      <c r="V19" s="1"/>
    </row>
    <row r="20" spans="1:22" x14ac:dyDescent="0.3">
      <c r="A20" s="4" t="s">
        <v>115</v>
      </c>
      <c r="B20" s="7" t="s">
        <v>0</v>
      </c>
      <c r="C20" s="7" t="s">
        <v>3</v>
      </c>
      <c r="H20" s="5" t="s">
        <v>120</v>
      </c>
      <c r="I20" s="8" t="s">
        <v>28</v>
      </c>
      <c r="J20" s="8" t="s">
        <v>31</v>
      </c>
      <c r="V20" t="s">
        <v>128</v>
      </c>
    </row>
    <row r="21" spans="1:22" x14ac:dyDescent="0.3">
      <c r="A21" s="1"/>
      <c r="B21" s="6" t="s">
        <v>102</v>
      </c>
      <c r="C21" s="6" t="str">
        <f>_xlfn.XLOOKUP(B21,A1:A11,D1:D11)</f>
        <v>Sony</v>
      </c>
      <c r="H21" s="3"/>
      <c r="I21" s="9" t="s">
        <v>35</v>
      </c>
      <c r="J21" s="9" t="str">
        <f>_xlfn.XLOOKUP(I21,H1:H11,K1:K11)</f>
        <v>Maharashtra</v>
      </c>
    </row>
    <row r="22" spans="1:22" x14ac:dyDescent="0.3">
      <c r="A22" s="1"/>
      <c r="B22" s="1"/>
      <c r="C22" s="1"/>
      <c r="H22" s="3"/>
      <c r="I22" s="3"/>
      <c r="J22" s="3"/>
      <c r="P22" s="3"/>
      <c r="Q22" s="3"/>
      <c r="R22" s="3"/>
    </row>
    <row r="23" spans="1:22" x14ac:dyDescent="0.3">
      <c r="A23" s="4" t="s">
        <v>116</v>
      </c>
      <c r="B23" s="7" t="s">
        <v>0</v>
      </c>
      <c r="C23" s="7" t="s">
        <v>5</v>
      </c>
      <c r="H23" s="5" t="s">
        <v>121</v>
      </c>
      <c r="I23" s="8" t="s">
        <v>28</v>
      </c>
      <c r="J23" s="8" t="s">
        <v>32</v>
      </c>
      <c r="P23" s="3"/>
      <c r="Q23" s="3"/>
      <c r="R23" s="3"/>
    </row>
    <row r="24" spans="1:22" x14ac:dyDescent="0.3">
      <c r="A24" s="1"/>
      <c r="B24" s="6" t="s">
        <v>104</v>
      </c>
      <c r="C24" s="6">
        <f>_xlfn.XLOOKUP(B24,A1:A11,F1:F11)</f>
        <v>120</v>
      </c>
      <c r="H24" s="3"/>
      <c r="I24" s="9" t="s">
        <v>38</v>
      </c>
      <c r="J24" s="9" t="str">
        <f>_xlfn.XLOOKUP(I24,H1:H11,L1:L11)</f>
        <v>Female</v>
      </c>
    </row>
    <row r="25" spans="1:22" x14ac:dyDescent="0.3">
      <c r="A25" s="1"/>
      <c r="B25" s="1"/>
      <c r="C25" s="1"/>
    </row>
    <row r="26" spans="1:22" x14ac:dyDescent="0.3">
      <c r="A26" s="4" t="s">
        <v>117</v>
      </c>
      <c r="B26" s="7" t="s">
        <v>0</v>
      </c>
      <c r="C26" s="7" t="s">
        <v>2</v>
      </c>
    </row>
    <row r="27" spans="1:22" x14ac:dyDescent="0.3">
      <c r="A27" s="1"/>
      <c r="B27" s="6" t="s">
        <v>103</v>
      </c>
      <c r="C27" s="6" t="str">
        <f>_xlfn.XLOOKUP(B27,A1:A11,C1:C11)</f>
        <v>Accessories</v>
      </c>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69A2C-7142-4CF9-B077-41F7200F1C2A}">
  <dimension ref="A1:I20"/>
  <sheetViews>
    <sheetView workbookViewId="0">
      <selection activeCell="F1" sqref="F1"/>
    </sheetView>
  </sheetViews>
  <sheetFormatPr defaultRowHeight="14.4" x14ac:dyDescent="0.3"/>
  <cols>
    <col min="1" max="1" width="7.33203125" bestFit="1" customWidth="1"/>
    <col min="2" max="2" width="9.33203125" bestFit="1" customWidth="1"/>
    <col min="3" max="3" width="12.5546875" bestFit="1" customWidth="1"/>
    <col min="4" max="4" width="10.88671875" bestFit="1" customWidth="1"/>
    <col min="5" max="5" width="14.21875" bestFit="1" customWidth="1"/>
    <col min="6" max="6" width="11.44140625" bestFit="1" customWidth="1"/>
    <col min="7" max="7" width="7.6640625" bestFit="1" customWidth="1"/>
    <col min="8" max="8" width="6" bestFit="1" customWidth="1"/>
    <col min="9" max="9" width="10.6640625" bestFit="1" customWidth="1"/>
  </cols>
  <sheetData>
    <row r="1" spans="1:9" x14ac:dyDescent="0.3">
      <c r="A1" s="4" t="s">
        <v>126</v>
      </c>
      <c r="B1" s="7" t="s">
        <v>84</v>
      </c>
      <c r="C1" s="7" t="s">
        <v>1</v>
      </c>
      <c r="D1" s="7" t="s">
        <v>2</v>
      </c>
      <c r="E1" s="7" t="s">
        <v>29</v>
      </c>
      <c r="F1" s="7" t="s">
        <v>72</v>
      </c>
      <c r="G1" s="7" t="s">
        <v>111</v>
      </c>
      <c r="H1" s="7" t="s">
        <v>4</v>
      </c>
      <c r="I1" s="7" t="s">
        <v>129</v>
      </c>
    </row>
    <row r="2" spans="1:9" x14ac:dyDescent="0.3">
      <c r="A2" s="1"/>
      <c r="B2" s="6" t="str" cm="1">
        <f t="array" ref="B2:B16">'Task 1-17'!S2:S16</f>
        <v>SA001</v>
      </c>
      <c r="C2" s="6" t="str" cm="1">
        <f t="array" ref="C2:C16">_xlfn.ANCHORARRAY('Task 1-17'!Y2)</f>
        <v>Laptop</v>
      </c>
      <c r="D2" s="6" t="str" cm="1">
        <f t="array" ref="D2:D16">INDEX('Task 1-17'!C2:C11,MATCH('Task 1-17'!T2:T16,'Task 1-17'!A2:A11,0))</f>
        <v>Electronics</v>
      </c>
      <c r="E2" s="6" t="str" cm="1">
        <f t="array" ref="E2:E16">_xlfn.ANCHORARRAY('Task 1-17'!Z2)</f>
        <v>Amit Patel</v>
      </c>
      <c r="F2" s="6" t="str" cm="1">
        <f t="array" ref="F2:F16">_xlfn.ANCHORARRAY('Task 1-17'!AA2)</f>
        <v>Alpha Store</v>
      </c>
      <c r="G2" s="6" cm="1">
        <f t="array" ref="G2:G16">'Task 1-17'!V2:V16</f>
        <v>1</v>
      </c>
      <c r="H2" s="6" cm="1">
        <f t="array" ref="H2:H16">_xlfn.ANCHORARRAY('Task 1-17'!AB2)</f>
        <v>55000</v>
      </c>
      <c r="I2" s="6" cm="1">
        <f t="array" ref="I2:I16">'Task 1-17'!AC2:AC16</f>
        <v>55000</v>
      </c>
    </row>
    <row r="3" spans="1:9" x14ac:dyDescent="0.3">
      <c r="A3" s="1"/>
      <c r="B3" s="6" t="str">
        <v>SA002</v>
      </c>
      <c r="C3" s="6" t="str">
        <v>Mouse</v>
      </c>
      <c r="D3" s="6" t="str">
        <v>Accessories</v>
      </c>
      <c r="E3" s="6" t="str">
        <v>Priya Shah</v>
      </c>
      <c r="F3" s="6" t="str">
        <v>Beta Store</v>
      </c>
      <c r="G3" s="6">
        <v>3</v>
      </c>
      <c r="H3" s="6">
        <v>900</v>
      </c>
      <c r="I3" s="6">
        <v>2700</v>
      </c>
    </row>
    <row r="4" spans="1:9" x14ac:dyDescent="0.3">
      <c r="A4" s="1"/>
      <c r="B4" s="6" t="str">
        <v>SA003</v>
      </c>
      <c r="C4" s="6" t="str">
        <v>Headphones</v>
      </c>
      <c r="D4" s="6" t="str">
        <v>Electronics</v>
      </c>
      <c r="E4" s="6" t="str">
        <v>Rahul Mehta</v>
      </c>
      <c r="F4" s="6" t="str">
        <v>Central Store</v>
      </c>
      <c r="G4" s="6">
        <v>2</v>
      </c>
      <c r="H4" s="6">
        <v>4500</v>
      </c>
      <c r="I4" s="6">
        <v>9000</v>
      </c>
    </row>
    <row r="5" spans="1:9" x14ac:dyDescent="0.3">
      <c r="A5" s="1"/>
      <c r="B5" s="6" t="str">
        <v>SA004</v>
      </c>
      <c r="C5" s="6" t="str">
        <v>Monitor</v>
      </c>
      <c r="D5" s="6" t="str">
        <v>Electronics</v>
      </c>
      <c r="E5" s="6" t="str">
        <v>Sneha Joshi</v>
      </c>
      <c r="F5" s="6" t="str">
        <v>Digital Hub</v>
      </c>
      <c r="G5" s="6">
        <v>1</v>
      </c>
      <c r="H5" s="6">
        <v>16000</v>
      </c>
      <c r="I5" s="6">
        <v>16000</v>
      </c>
    </row>
    <row r="6" spans="1:9" x14ac:dyDescent="0.3">
      <c r="A6" s="1"/>
      <c r="B6" s="6" t="str">
        <v>SA005</v>
      </c>
      <c r="C6" s="6" t="str">
        <v>Smartphone</v>
      </c>
      <c r="D6" s="6" t="str">
        <v>Electronics</v>
      </c>
      <c r="E6" s="6" t="str">
        <v>Arjun Singh</v>
      </c>
      <c r="F6" s="6" t="str">
        <v>Smart World</v>
      </c>
      <c r="G6" s="6">
        <v>2</v>
      </c>
      <c r="H6" s="6">
        <v>32000</v>
      </c>
      <c r="I6" s="6">
        <v>64000</v>
      </c>
    </row>
    <row r="7" spans="1:9" x14ac:dyDescent="0.3">
      <c r="A7" s="1"/>
      <c r="B7" s="6" t="str">
        <v>SA006</v>
      </c>
      <c r="C7" s="6" t="str">
        <v>Office Chair</v>
      </c>
      <c r="D7" s="6" t="str">
        <v>Furniture</v>
      </c>
      <c r="E7" s="6" t="str">
        <v>Neha Verma</v>
      </c>
      <c r="F7" s="6" t="str">
        <v>Alpha Store</v>
      </c>
      <c r="G7" s="6">
        <v>1</v>
      </c>
      <c r="H7" s="6">
        <v>8500</v>
      </c>
      <c r="I7" s="6">
        <v>8500</v>
      </c>
    </row>
    <row r="8" spans="1:9" x14ac:dyDescent="0.3">
      <c r="A8" s="1"/>
      <c r="B8" s="6" t="str">
        <v>SA007</v>
      </c>
      <c r="C8" s="6" t="str">
        <v>Printer</v>
      </c>
      <c r="D8" s="6" t="str">
        <v>Electronics</v>
      </c>
      <c r="E8" s="6" t="str">
        <v>Rohan Gupta</v>
      </c>
      <c r="F8" s="6" t="str">
        <v>Beta Store</v>
      </c>
      <c r="G8" s="6">
        <v>1</v>
      </c>
      <c r="H8" s="6">
        <v>12500</v>
      </c>
      <c r="I8" s="6">
        <v>12500</v>
      </c>
    </row>
    <row r="9" spans="1:9" x14ac:dyDescent="0.3">
      <c r="A9" s="1"/>
      <c r="B9" s="6" t="str">
        <v>SA008</v>
      </c>
      <c r="C9" s="6" t="str">
        <v>Webcam</v>
      </c>
      <c r="D9" s="6" t="str">
        <v>Accessories</v>
      </c>
      <c r="E9" s="6" t="str">
        <v>Pooja Sharma</v>
      </c>
      <c r="F9" s="6" t="str">
        <v>Central Store</v>
      </c>
      <c r="G9" s="6">
        <v>2</v>
      </c>
      <c r="H9" s="6">
        <v>3500</v>
      </c>
      <c r="I9" s="6">
        <v>7000</v>
      </c>
    </row>
    <row r="10" spans="1:9" x14ac:dyDescent="0.3">
      <c r="A10" s="1"/>
      <c r="B10" s="6" t="str">
        <v>SA009</v>
      </c>
      <c r="C10" s="6" t="str">
        <v>Keyboard</v>
      </c>
      <c r="D10" s="6" t="str">
        <v>Accessories</v>
      </c>
      <c r="E10" s="6" t="str">
        <v>Karan Desai</v>
      </c>
      <c r="F10" s="6" t="str">
        <v>Digital Hub</v>
      </c>
      <c r="G10" s="6">
        <v>4</v>
      </c>
      <c r="H10" s="6">
        <v>1800</v>
      </c>
      <c r="I10" s="6">
        <v>7200</v>
      </c>
    </row>
    <row r="11" spans="1:9" x14ac:dyDescent="0.3">
      <c r="A11" s="1"/>
      <c r="B11" s="6" t="str">
        <v>SA010</v>
      </c>
      <c r="C11" s="6" t="str">
        <v>Office Desk</v>
      </c>
      <c r="D11" s="6" t="str">
        <v>Furniture</v>
      </c>
      <c r="E11" s="6" t="str">
        <v>Anjali Nair</v>
      </c>
      <c r="F11" s="6" t="str">
        <v>Smart World</v>
      </c>
      <c r="G11" s="6">
        <v>1</v>
      </c>
      <c r="H11" s="6">
        <v>12000</v>
      </c>
      <c r="I11" s="6">
        <v>12000</v>
      </c>
    </row>
    <row r="12" spans="1:9" x14ac:dyDescent="0.3">
      <c r="A12" s="1"/>
      <c r="B12" s="6" t="str">
        <v>SA011</v>
      </c>
      <c r="C12" s="6" t="str">
        <v>Mouse</v>
      </c>
      <c r="D12" s="6" t="str">
        <v>Accessories</v>
      </c>
      <c r="E12" s="6" t="str">
        <v>Amit Patel</v>
      </c>
      <c r="F12" s="6" t="str">
        <v>Alpha Store</v>
      </c>
      <c r="G12" s="6">
        <v>5</v>
      </c>
      <c r="H12" s="6">
        <v>900</v>
      </c>
      <c r="I12" s="6">
        <v>4500</v>
      </c>
    </row>
    <row r="13" spans="1:9" x14ac:dyDescent="0.3">
      <c r="A13" s="1"/>
      <c r="B13" s="6" t="str">
        <v>SA012</v>
      </c>
      <c r="C13" s="6" t="str">
        <v>Headphones</v>
      </c>
      <c r="D13" s="6" t="str">
        <v>Electronics</v>
      </c>
      <c r="E13" s="6" t="str">
        <v>Priya Shah</v>
      </c>
      <c r="F13" s="6" t="str">
        <v>Beta Store</v>
      </c>
      <c r="G13" s="6">
        <v>3</v>
      </c>
      <c r="H13" s="6">
        <v>4500</v>
      </c>
      <c r="I13" s="6">
        <v>13500</v>
      </c>
    </row>
    <row r="14" spans="1:9" x14ac:dyDescent="0.3">
      <c r="A14" s="1"/>
      <c r="B14" s="6" t="str">
        <v>SA013</v>
      </c>
      <c r="C14" s="6" t="str">
        <v>Laptop</v>
      </c>
      <c r="D14" s="6" t="str">
        <v>Electronics</v>
      </c>
      <c r="E14" s="6" t="str">
        <v>Rahul Mehta</v>
      </c>
      <c r="F14" s="6" t="str">
        <v>Central Store</v>
      </c>
      <c r="G14" s="6">
        <v>1</v>
      </c>
      <c r="H14" s="6">
        <v>55000</v>
      </c>
      <c r="I14" s="6">
        <v>55000</v>
      </c>
    </row>
    <row r="15" spans="1:9" x14ac:dyDescent="0.3">
      <c r="A15" s="1"/>
      <c r="B15" s="6" t="str">
        <v>SA014</v>
      </c>
      <c r="C15" s="6" t="str">
        <v>Monitor</v>
      </c>
      <c r="D15" s="6" t="str">
        <v>Electronics</v>
      </c>
      <c r="E15" s="6" t="str">
        <v>Sneha Joshi</v>
      </c>
      <c r="F15" s="6" t="str">
        <v>Digital Hub</v>
      </c>
      <c r="G15" s="6">
        <v>2</v>
      </c>
      <c r="H15" s="6">
        <v>16000</v>
      </c>
      <c r="I15" s="6">
        <v>32000</v>
      </c>
    </row>
    <row r="16" spans="1:9" x14ac:dyDescent="0.3">
      <c r="A16" s="1"/>
      <c r="B16" s="6" t="str">
        <v>SA015</v>
      </c>
      <c r="C16" s="6" t="str">
        <v>Smartphone</v>
      </c>
      <c r="D16" s="6" t="str">
        <v>Electronics</v>
      </c>
      <c r="E16" s="6" t="str">
        <v>Arjun Singh</v>
      </c>
      <c r="F16" s="6" t="str">
        <v>Smart World</v>
      </c>
      <c r="G16" s="6">
        <v>1</v>
      </c>
      <c r="H16" s="6">
        <v>32000</v>
      </c>
      <c r="I16" s="6">
        <v>32000</v>
      </c>
    </row>
    <row r="19" spans="1:7" x14ac:dyDescent="0.3">
      <c r="A19" s="11" t="s">
        <v>127</v>
      </c>
      <c r="B19" s="7" t="s">
        <v>0</v>
      </c>
      <c r="C19" s="7" t="s">
        <v>1</v>
      </c>
      <c r="D19" s="7" t="s">
        <v>2</v>
      </c>
      <c r="E19" s="7" t="s">
        <v>3</v>
      </c>
      <c r="F19" s="7" t="s">
        <v>4</v>
      </c>
      <c r="G19" s="7" t="s">
        <v>5</v>
      </c>
    </row>
    <row r="20" spans="1:7" x14ac:dyDescent="0.3">
      <c r="B20" s="6" t="s">
        <v>100</v>
      </c>
      <c r="C20" s="6" t="str">
        <f>INDEX('Task 1-17'!B2:B11,MATCH('Task 18-19'!B20,'Task 1-17'!A2:A11,0))</f>
        <v>Laptop</v>
      </c>
      <c r="D20" s="6" t="str">
        <f>INDEX('Task 1-17'!C2:C11,MATCH('Task 18-19'!B20,'Task 1-17'!A2:A11,0))</f>
        <v>Electronics</v>
      </c>
      <c r="E20" s="6" t="str">
        <f>INDEX('Task 1-17'!D2:D11,MATCH('Task 18-19'!B20,'Task 1-17'!A2:A11,0))</f>
        <v>Dell</v>
      </c>
      <c r="F20" s="6">
        <f>INDEX('Task 1-17'!E2:E11,MATCH('Task 18-19'!B20,'Task 1-17'!A2:A11,0))</f>
        <v>55000</v>
      </c>
      <c r="G20" s="6">
        <f>INDEX('Task 1-17'!F2:F11,MATCH('Task 18-19'!B20,'Task 1-17'!A2:A11,0))</f>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5C5D2-62BD-40FF-AAD8-B0B5C2F29557}">
  <dimension ref="A3:M14"/>
  <sheetViews>
    <sheetView workbookViewId="0">
      <selection activeCell="L3" sqref="L3"/>
    </sheetView>
  </sheetViews>
  <sheetFormatPr defaultRowHeight="14.4" x14ac:dyDescent="0.3"/>
  <cols>
    <col min="1" max="2" width="12.44140625" bestFit="1" customWidth="1"/>
    <col min="3" max="3" width="14.21875" bestFit="1" customWidth="1"/>
    <col min="4" max="4" width="18.44140625" bestFit="1" customWidth="1"/>
    <col min="6" max="6" width="12.44140625" bestFit="1" customWidth="1"/>
    <col min="7" max="7" width="14.21875" bestFit="1" customWidth="1"/>
    <col min="8" max="8" width="8.109375" customWidth="1"/>
    <col min="10" max="10" width="12.44140625" bestFit="1" customWidth="1"/>
    <col min="11" max="11" width="9.33203125" customWidth="1"/>
    <col min="12" max="12" width="12.44140625" bestFit="1" customWidth="1"/>
    <col min="13" max="13" width="14.21875" bestFit="1" customWidth="1"/>
  </cols>
  <sheetData>
    <row r="3" spans="1:13" x14ac:dyDescent="0.3">
      <c r="A3" s="12" t="s">
        <v>130</v>
      </c>
      <c r="B3" t="s">
        <v>140</v>
      </c>
      <c r="C3" t="s">
        <v>139</v>
      </c>
      <c r="D3" t="s">
        <v>138</v>
      </c>
      <c r="F3" s="12" t="s">
        <v>130</v>
      </c>
      <c r="G3" t="s">
        <v>140</v>
      </c>
      <c r="I3" s="12" t="s">
        <v>130</v>
      </c>
      <c r="J3" t="s">
        <v>141</v>
      </c>
      <c r="L3" s="12" t="s">
        <v>130</v>
      </c>
      <c r="M3" t="s">
        <v>140</v>
      </c>
    </row>
    <row r="4" spans="1:13" x14ac:dyDescent="0.3">
      <c r="A4" s="13" t="s">
        <v>78</v>
      </c>
      <c r="B4">
        <v>7</v>
      </c>
      <c r="C4">
        <v>68000</v>
      </c>
      <c r="D4">
        <v>64400</v>
      </c>
      <c r="F4" s="13" t="s">
        <v>17</v>
      </c>
      <c r="G4">
        <v>14</v>
      </c>
      <c r="I4" s="13" t="s">
        <v>8</v>
      </c>
      <c r="J4">
        <v>9000</v>
      </c>
      <c r="L4" s="13" t="s">
        <v>33</v>
      </c>
      <c r="M4">
        <v>6</v>
      </c>
    </row>
    <row r="5" spans="1:13" x14ac:dyDescent="0.3">
      <c r="A5" s="13" t="s">
        <v>79</v>
      </c>
      <c r="B5">
        <v>7</v>
      </c>
      <c r="C5">
        <v>28700</v>
      </c>
      <c r="D5">
        <v>17900</v>
      </c>
      <c r="F5" s="13" t="s">
        <v>16</v>
      </c>
      <c r="G5">
        <v>14</v>
      </c>
      <c r="I5" s="13" t="s">
        <v>9</v>
      </c>
      <c r="J5">
        <v>1800</v>
      </c>
      <c r="L5" s="13" t="s">
        <v>34</v>
      </c>
      <c r="M5">
        <v>6</v>
      </c>
    </row>
    <row r="6" spans="1:13" x14ac:dyDescent="0.3">
      <c r="A6" s="13" t="s">
        <v>80</v>
      </c>
      <c r="B6">
        <v>5</v>
      </c>
      <c r="C6">
        <v>71000</v>
      </c>
      <c r="D6">
        <v>63000</v>
      </c>
      <c r="F6" s="13" t="s">
        <v>18</v>
      </c>
      <c r="G6">
        <v>2</v>
      </c>
      <c r="I6" s="13" t="s">
        <v>6</v>
      </c>
      <c r="J6">
        <v>110000</v>
      </c>
      <c r="L6" s="13" t="s">
        <v>35</v>
      </c>
      <c r="M6">
        <v>3</v>
      </c>
    </row>
    <row r="7" spans="1:13" x14ac:dyDescent="0.3">
      <c r="A7" s="13" t="s">
        <v>81</v>
      </c>
      <c r="B7">
        <v>7</v>
      </c>
      <c r="C7">
        <v>55200</v>
      </c>
      <c r="D7">
        <v>33800</v>
      </c>
      <c r="F7" s="13" t="s">
        <v>131</v>
      </c>
      <c r="G7">
        <v>30</v>
      </c>
      <c r="I7" s="13" t="s">
        <v>14</v>
      </c>
      <c r="J7">
        <v>32000</v>
      </c>
      <c r="L7" s="13" t="s">
        <v>36</v>
      </c>
      <c r="M7">
        <v>3</v>
      </c>
    </row>
    <row r="8" spans="1:13" x14ac:dyDescent="0.3">
      <c r="A8" s="13" t="s">
        <v>82</v>
      </c>
      <c r="B8">
        <v>4</v>
      </c>
      <c r="C8">
        <v>108000</v>
      </c>
      <c r="D8">
        <v>76000</v>
      </c>
      <c r="I8" s="13" t="s">
        <v>10</v>
      </c>
      <c r="J8">
        <v>1800</v>
      </c>
      <c r="L8" s="13" t="s">
        <v>37</v>
      </c>
      <c r="M8">
        <v>3</v>
      </c>
    </row>
    <row r="9" spans="1:13" x14ac:dyDescent="0.3">
      <c r="A9" s="13" t="s">
        <v>131</v>
      </c>
      <c r="B9">
        <v>30</v>
      </c>
      <c r="C9">
        <v>330900</v>
      </c>
      <c r="D9">
        <v>255100</v>
      </c>
      <c r="I9" s="13" t="s">
        <v>12</v>
      </c>
      <c r="J9">
        <v>8500</v>
      </c>
      <c r="L9" s="13" t="s">
        <v>38</v>
      </c>
      <c r="M9">
        <v>1</v>
      </c>
    </row>
    <row r="10" spans="1:13" x14ac:dyDescent="0.3">
      <c r="I10" s="13" t="s">
        <v>13</v>
      </c>
      <c r="J10">
        <v>12000</v>
      </c>
      <c r="L10" s="13" t="s">
        <v>39</v>
      </c>
      <c r="M10">
        <v>1</v>
      </c>
    </row>
    <row r="11" spans="1:13" x14ac:dyDescent="0.3">
      <c r="I11" s="13" t="s">
        <v>11</v>
      </c>
      <c r="J11">
        <v>12500</v>
      </c>
      <c r="L11" s="13" t="s">
        <v>40</v>
      </c>
      <c r="M11">
        <v>2</v>
      </c>
    </row>
    <row r="12" spans="1:13" x14ac:dyDescent="0.3">
      <c r="I12" s="13" t="s">
        <v>7</v>
      </c>
      <c r="J12">
        <v>64000</v>
      </c>
      <c r="L12" s="13" t="s">
        <v>41</v>
      </c>
      <c r="M12">
        <v>4</v>
      </c>
    </row>
    <row r="13" spans="1:13" x14ac:dyDescent="0.3">
      <c r="I13" s="13" t="s">
        <v>15</v>
      </c>
      <c r="J13">
        <v>3500</v>
      </c>
      <c r="L13" s="13" t="s">
        <v>42</v>
      </c>
      <c r="M13">
        <v>1</v>
      </c>
    </row>
    <row r="14" spans="1:13" x14ac:dyDescent="0.3">
      <c r="I14" s="13" t="s">
        <v>131</v>
      </c>
      <c r="J14">
        <v>255100</v>
      </c>
      <c r="L14" s="13" t="s">
        <v>131</v>
      </c>
      <c r="M14">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E737D-EF17-4041-BC14-A0DDE89B0CE6}">
  <dimension ref="A1:U20"/>
  <sheetViews>
    <sheetView showGridLines="0" tabSelected="1" workbookViewId="0">
      <selection activeCell="V12" sqref="V12"/>
    </sheetView>
  </sheetViews>
  <sheetFormatPr defaultRowHeight="14.4" x14ac:dyDescent="0.3"/>
  <cols>
    <col min="1" max="1" width="2.109375" customWidth="1"/>
    <col min="2" max="2" width="25.44140625" bestFit="1" customWidth="1"/>
    <col min="3" max="3" width="19.5546875" bestFit="1" customWidth="1"/>
    <col min="11" max="11" width="4.33203125" customWidth="1"/>
    <col min="21" max="21" width="12.88671875" customWidth="1"/>
  </cols>
  <sheetData>
    <row r="1" spans="1:21" ht="10.199999999999999" customHeight="1" x14ac:dyDescent="0.3">
      <c r="A1" s="18"/>
      <c r="B1" s="18"/>
      <c r="C1" s="18"/>
      <c r="D1" s="18"/>
      <c r="E1" s="18"/>
      <c r="F1" s="18"/>
      <c r="G1" s="18"/>
      <c r="H1" s="18"/>
      <c r="I1" s="18"/>
      <c r="J1" s="18"/>
      <c r="K1" s="18"/>
      <c r="L1" s="18"/>
      <c r="M1" s="18"/>
      <c r="N1" s="18"/>
      <c r="O1" s="18"/>
      <c r="P1" s="18"/>
      <c r="Q1" s="18"/>
      <c r="R1" s="18"/>
      <c r="S1" s="18"/>
      <c r="T1" s="18"/>
      <c r="U1" s="18"/>
    </row>
    <row r="2" spans="1:21" ht="14.4" customHeight="1" x14ac:dyDescent="0.3">
      <c r="A2" s="18"/>
      <c r="B2" s="22" t="s">
        <v>132</v>
      </c>
      <c r="C2" s="22"/>
      <c r="D2" s="22"/>
      <c r="E2" s="22"/>
      <c r="F2" s="22"/>
      <c r="G2" s="22"/>
      <c r="H2" s="22"/>
      <c r="I2" s="22"/>
      <c r="J2" s="22"/>
      <c r="K2" s="22"/>
      <c r="L2" s="18"/>
      <c r="M2" s="18"/>
      <c r="N2" s="18"/>
      <c r="O2" s="18"/>
      <c r="P2" s="18"/>
      <c r="Q2" s="18"/>
      <c r="R2" s="18"/>
      <c r="S2" s="18"/>
      <c r="T2" s="18"/>
      <c r="U2" s="18"/>
    </row>
    <row r="3" spans="1:21" ht="14.4" customHeight="1" x14ac:dyDescent="0.3">
      <c r="A3" s="18"/>
      <c r="B3" s="22"/>
      <c r="C3" s="22"/>
      <c r="D3" s="22"/>
      <c r="E3" s="22"/>
      <c r="F3" s="22"/>
      <c r="G3" s="22"/>
      <c r="H3" s="22"/>
      <c r="I3" s="22"/>
      <c r="J3" s="22"/>
      <c r="K3" s="22"/>
      <c r="L3" s="18"/>
      <c r="M3" s="18"/>
      <c r="N3" s="18"/>
      <c r="O3" s="18"/>
      <c r="P3" s="18"/>
      <c r="Q3" s="18"/>
      <c r="R3" s="18"/>
      <c r="S3" s="18"/>
      <c r="T3" s="18"/>
      <c r="U3" s="18"/>
    </row>
    <row r="4" spans="1:21" ht="7.2" customHeight="1" x14ac:dyDescent="0.3">
      <c r="A4" s="18"/>
      <c r="B4" s="18"/>
      <c r="C4" s="18"/>
      <c r="D4" s="18"/>
      <c r="E4" s="18"/>
      <c r="F4" s="18"/>
      <c r="G4" s="18"/>
      <c r="H4" s="18"/>
      <c r="I4" s="18"/>
      <c r="J4" s="18"/>
      <c r="K4" s="18"/>
      <c r="L4" s="18"/>
      <c r="M4" s="18"/>
      <c r="N4" s="18"/>
      <c r="O4" s="18"/>
      <c r="P4" s="18"/>
      <c r="Q4" s="18"/>
      <c r="R4" s="18"/>
      <c r="S4" s="18"/>
      <c r="T4" s="18"/>
      <c r="U4" s="18"/>
    </row>
    <row r="5" spans="1:21" ht="14.4" customHeight="1" x14ac:dyDescent="0.3">
      <c r="A5" s="18"/>
      <c r="B5" s="21" t="s">
        <v>133</v>
      </c>
      <c r="C5" s="21"/>
      <c r="D5" s="19"/>
      <c r="E5" s="18"/>
      <c r="F5" s="18"/>
      <c r="G5" s="18"/>
      <c r="H5" s="18"/>
      <c r="I5" s="18"/>
      <c r="J5" s="18"/>
      <c r="K5" s="18"/>
      <c r="L5" s="18"/>
      <c r="M5" s="18"/>
      <c r="N5" s="18"/>
      <c r="O5" s="18"/>
      <c r="P5" s="18"/>
      <c r="Q5" s="18"/>
      <c r="R5" s="18"/>
      <c r="S5" s="18"/>
      <c r="T5" s="18"/>
      <c r="U5" s="18"/>
    </row>
    <row r="6" spans="1:21" ht="14.4" customHeight="1" x14ac:dyDescent="0.3">
      <c r="A6" s="18"/>
      <c r="B6" s="21"/>
      <c r="C6" s="21"/>
      <c r="D6" s="19"/>
      <c r="E6" s="18"/>
      <c r="F6" s="18"/>
      <c r="G6" s="18"/>
      <c r="H6" s="18"/>
      <c r="I6" s="18"/>
      <c r="J6" s="18"/>
      <c r="K6" s="18"/>
      <c r="L6" s="18"/>
      <c r="M6" s="18"/>
      <c r="N6" s="18"/>
      <c r="O6" s="18"/>
      <c r="P6" s="18"/>
      <c r="Q6" s="18"/>
      <c r="R6" s="18"/>
      <c r="S6" s="18"/>
      <c r="T6" s="18"/>
      <c r="U6" s="18"/>
    </row>
    <row r="7" spans="1:21" x14ac:dyDescent="0.3">
      <c r="A7" s="18"/>
      <c r="B7" s="20" t="s">
        <v>84</v>
      </c>
      <c r="C7" s="20" t="s">
        <v>86</v>
      </c>
      <c r="D7" s="18"/>
      <c r="E7" s="18"/>
      <c r="F7" s="18"/>
      <c r="G7" s="18"/>
      <c r="H7" s="18"/>
      <c r="I7" s="18"/>
      <c r="J7" s="18"/>
      <c r="K7" s="18"/>
      <c r="L7" s="18"/>
      <c r="M7" s="18"/>
      <c r="N7" s="18"/>
      <c r="O7" s="18"/>
      <c r="P7" s="18"/>
      <c r="Q7" s="18"/>
      <c r="R7" s="18"/>
      <c r="S7" s="18"/>
      <c r="T7" s="18"/>
      <c r="U7" s="18"/>
    </row>
    <row r="8" spans="1:21" ht="15.6" customHeight="1" x14ac:dyDescent="0.3">
      <c r="A8" s="18"/>
      <c r="B8" s="20"/>
      <c r="C8" s="20"/>
      <c r="D8" s="18"/>
      <c r="E8" s="18"/>
      <c r="F8" s="18"/>
      <c r="G8" s="18"/>
      <c r="H8" s="18"/>
      <c r="I8" s="18"/>
      <c r="J8" s="18"/>
      <c r="K8" s="18"/>
      <c r="L8" s="18"/>
      <c r="M8" s="18"/>
      <c r="N8" s="18"/>
      <c r="O8" s="18"/>
      <c r="P8" s="18"/>
      <c r="Q8" s="18"/>
      <c r="R8" s="18"/>
      <c r="S8" s="18"/>
      <c r="T8" s="18"/>
      <c r="U8" s="18"/>
    </row>
    <row r="9" spans="1:21" ht="25.8" x14ac:dyDescent="0.5">
      <c r="A9" s="18"/>
      <c r="B9" s="15" t="s">
        <v>1</v>
      </c>
      <c r="C9" s="16" t="str">
        <f>INDEX(_xlfn.ANCHORARRAY('Task 1-17'!Y2),MATCH(Dashboard!C7,'Task 1-17'!S2:S16,0))</f>
        <v>Mouse</v>
      </c>
      <c r="D9" s="18"/>
      <c r="E9" s="18"/>
      <c r="F9" s="18"/>
      <c r="G9" s="18"/>
      <c r="H9" s="18"/>
      <c r="I9" s="18"/>
      <c r="J9" s="18"/>
      <c r="K9" s="18"/>
      <c r="L9" s="18"/>
      <c r="M9" s="18"/>
      <c r="N9" s="18"/>
      <c r="O9" s="18"/>
      <c r="P9" s="18"/>
      <c r="Q9" s="18"/>
      <c r="R9" s="18"/>
      <c r="S9" s="18"/>
      <c r="T9" s="18"/>
      <c r="U9" s="18"/>
    </row>
    <row r="10" spans="1:21" ht="25.8" x14ac:dyDescent="0.5">
      <c r="A10" s="18"/>
      <c r="B10" s="15" t="s">
        <v>2</v>
      </c>
      <c r="C10" s="16" t="str">
        <f>INDEX('Task 1-17'!C2:C11,MATCH(INDEX('Task 1-17'!T2:T16,MATCH(Dashboard!C7,'Task 1-17'!S2:S16,0)),'Task 1-17'!A2:A11,0))</f>
        <v>Accessories</v>
      </c>
      <c r="D10" s="18"/>
      <c r="E10" s="18"/>
      <c r="F10" s="18"/>
      <c r="G10" s="18"/>
      <c r="H10" s="18"/>
      <c r="I10" s="18"/>
      <c r="J10" s="18"/>
      <c r="K10" s="18"/>
      <c r="L10" s="18"/>
      <c r="M10" s="18"/>
      <c r="N10" s="18"/>
      <c r="O10" s="18"/>
      <c r="P10" s="18"/>
      <c r="Q10" s="18"/>
      <c r="R10" s="18"/>
      <c r="S10" s="18"/>
      <c r="T10" s="18"/>
      <c r="U10" s="18"/>
    </row>
    <row r="11" spans="1:21" ht="25.8" x14ac:dyDescent="0.5">
      <c r="A11" s="18"/>
      <c r="B11" s="15" t="s">
        <v>3</v>
      </c>
      <c r="C11" s="16" t="str">
        <f>INDEX('Task 1-17'!D2:D11,MATCH(INDEX('Task 1-17'!T2:T16,MATCH(Dashboard!C7,'Task 1-17'!S2:S16,0)),'Task 1-17'!A2:A11,0))</f>
        <v>HP</v>
      </c>
      <c r="D11" s="18"/>
      <c r="E11" s="18"/>
      <c r="F11" s="18"/>
      <c r="G11" s="18"/>
      <c r="H11" s="18"/>
      <c r="I11" s="18"/>
      <c r="J11" s="18"/>
      <c r="K11" s="18"/>
      <c r="L11" s="18"/>
      <c r="M11" s="18"/>
      <c r="N11" s="18"/>
      <c r="O11" s="18"/>
      <c r="P11" s="18"/>
      <c r="Q11" s="18"/>
      <c r="R11" s="18"/>
      <c r="S11" s="18"/>
      <c r="T11" s="18"/>
      <c r="U11" s="18"/>
    </row>
    <row r="12" spans="1:21" ht="25.8" x14ac:dyDescent="0.5">
      <c r="A12" s="18"/>
      <c r="B12" s="15" t="s">
        <v>134</v>
      </c>
      <c r="C12" s="16" t="str">
        <f>INDEX(_xlfn.ANCHORARRAY('Task 1-17'!Z2),MATCH(C7,'Task 1-17'!S2:S16,0))</f>
        <v>Priya Shah</v>
      </c>
      <c r="D12" s="18"/>
      <c r="E12" s="18"/>
      <c r="F12" s="18"/>
      <c r="G12" s="18"/>
      <c r="H12" s="18"/>
      <c r="I12" s="18"/>
      <c r="J12" s="18"/>
      <c r="K12" s="18"/>
      <c r="L12" s="18"/>
      <c r="M12" s="18"/>
      <c r="N12" s="18"/>
      <c r="O12" s="18"/>
      <c r="P12" s="18"/>
      <c r="Q12" s="18"/>
      <c r="R12" s="18"/>
      <c r="S12" s="18"/>
      <c r="T12" s="18"/>
      <c r="U12" s="18"/>
    </row>
    <row r="13" spans="1:21" ht="25.8" x14ac:dyDescent="0.5">
      <c r="A13" s="18"/>
      <c r="B13" s="15" t="s">
        <v>135</v>
      </c>
      <c r="C13" s="16" t="str">
        <f>INDEX('Task 1-17'!J2:J11,MATCH(INDEX('Task 1-17'!U2:U16,MATCH(C7,'Task 1-17'!S2:S16,0)),'Task 1-17'!H2:H11,0))</f>
        <v>Surat</v>
      </c>
      <c r="D13" s="18"/>
      <c r="E13" s="18"/>
      <c r="F13" s="18"/>
      <c r="G13" s="18"/>
      <c r="H13" s="18"/>
      <c r="I13" s="18"/>
      <c r="J13" s="18"/>
      <c r="K13" s="18"/>
      <c r="L13" s="18"/>
      <c r="M13" s="18"/>
      <c r="N13" s="18"/>
      <c r="O13" s="18"/>
      <c r="P13" s="18"/>
      <c r="Q13" s="18"/>
      <c r="R13" s="18"/>
      <c r="S13" s="18"/>
      <c r="T13" s="18"/>
      <c r="U13" s="18"/>
    </row>
    <row r="14" spans="1:21" ht="25.8" x14ac:dyDescent="0.5">
      <c r="A14" s="18"/>
      <c r="B14" s="15" t="s">
        <v>136</v>
      </c>
      <c r="C14" s="16" t="str">
        <f>INDEX(_xlfn.ANCHORARRAY('Task 1-17'!AA2),MATCH(Dashboard!C7,'Task 1-17'!S2:S16,0))</f>
        <v>Beta Store</v>
      </c>
      <c r="D14" s="18"/>
      <c r="E14" s="18"/>
      <c r="F14" s="18"/>
      <c r="G14" s="18"/>
      <c r="H14" s="18"/>
      <c r="I14" s="18"/>
      <c r="J14" s="18"/>
      <c r="K14" s="18"/>
      <c r="L14" s="18"/>
      <c r="M14" s="18"/>
      <c r="N14" s="18"/>
      <c r="O14" s="18"/>
      <c r="P14" s="18"/>
      <c r="Q14" s="18"/>
      <c r="R14" s="18"/>
      <c r="S14" s="18"/>
      <c r="T14" s="18"/>
      <c r="U14" s="18"/>
    </row>
    <row r="15" spans="1:21" ht="25.8" x14ac:dyDescent="0.5">
      <c r="A15" s="18"/>
      <c r="B15" s="15" t="s">
        <v>137</v>
      </c>
      <c r="C15" s="16" t="str">
        <f>INDEX('Task 1-17'!P2:P6,MATCH(INDEX('Task 1-17'!X2:X16,MATCH(Dashboard!C7,'Task 1-17'!S2:S16,0)),'Task 1-17'!N2:N6,0))</f>
        <v>Surat</v>
      </c>
      <c r="D15" s="18"/>
      <c r="E15" s="18"/>
      <c r="F15" s="18"/>
      <c r="G15" s="18"/>
      <c r="H15" s="18"/>
      <c r="I15" s="18"/>
      <c r="J15" s="18"/>
      <c r="K15" s="18"/>
      <c r="L15" s="18"/>
      <c r="M15" s="18"/>
      <c r="N15" s="18"/>
      <c r="O15" s="18"/>
      <c r="P15" s="18"/>
      <c r="Q15" s="18"/>
      <c r="R15" s="18"/>
      <c r="S15" s="18"/>
      <c r="T15" s="18"/>
      <c r="U15" s="18"/>
    </row>
    <row r="16" spans="1:21" ht="25.8" x14ac:dyDescent="0.5">
      <c r="A16" s="18"/>
      <c r="B16" s="15" t="s">
        <v>111</v>
      </c>
      <c r="C16" s="16">
        <f>INDEX('Task 1-17'!V2:V16,MATCH(Dashboard!C7,'Task 1-17'!S2:S16,0))</f>
        <v>3</v>
      </c>
      <c r="D16" s="18"/>
      <c r="E16" s="18"/>
      <c r="F16" s="18"/>
      <c r="G16" s="18"/>
      <c r="H16" s="18"/>
      <c r="I16" s="18"/>
      <c r="J16" s="18"/>
      <c r="K16" s="18"/>
      <c r="L16" s="18"/>
      <c r="M16" s="18"/>
      <c r="N16" s="18"/>
      <c r="O16" s="18"/>
      <c r="P16" s="18"/>
      <c r="Q16" s="18"/>
      <c r="R16" s="18"/>
      <c r="S16" s="18"/>
      <c r="T16" s="18"/>
      <c r="U16" s="18"/>
    </row>
    <row r="17" spans="1:21" ht="25.8" x14ac:dyDescent="0.5">
      <c r="A17" s="18"/>
      <c r="B17" s="15" t="s">
        <v>125</v>
      </c>
      <c r="C17" s="16">
        <f>INDEX(_xlfn.ANCHORARRAY('Task 1-17'!AB2),MATCH(Dashboard!C7,'Task 1-17'!S2:S16,0))</f>
        <v>900</v>
      </c>
      <c r="D17" s="18"/>
      <c r="E17" s="18"/>
      <c r="F17" s="18"/>
      <c r="G17" s="18"/>
      <c r="H17" s="18"/>
      <c r="I17" s="18"/>
      <c r="J17" s="18"/>
      <c r="K17" s="18"/>
      <c r="L17" s="18"/>
      <c r="M17" s="18"/>
      <c r="N17" s="18"/>
      <c r="O17" s="18"/>
      <c r="P17" s="18"/>
      <c r="Q17" s="18"/>
      <c r="R17" s="18"/>
      <c r="S17" s="18"/>
      <c r="T17" s="18"/>
      <c r="U17" s="18"/>
    </row>
    <row r="18" spans="1:21" ht="25.8" x14ac:dyDescent="0.5">
      <c r="A18" s="18"/>
      <c r="B18" s="15" t="s">
        <v>129</v>
      </c>
      <c r="C18" s="16">
        <f>INDEX('Task 1-17'!AC2:AC16,MATCH(Dashboard!C7,'Task 1-17'!S2:S16,0))</f>
        <v>2700</v>
      </c>
      <c r="D18" s="18"/>
      <c r="E18" s="18"/>
      <c r="F18" s="18"/>
      <c r="G18" s="18"/>
      <c r="H18" s="18"/>
      <c r="I18" s="18"/>
      <c r="J18" s="18"/>
      <c r="K18" s="18"/>
      <c r="L18" s="18"/>
      <c r="M18" s="18"/>
      <c r="N18" s="18"/>
      <c r="O18" s="18"/>
      <c r="P18" s="18"/>
      <c r="Q18" s="18"/>
      <c r="R18" s="18"/>
      <c r="S18" s="18"/>
      <c r="T18" s="18"/>
      <c r="U18" s="18"/>
    </row>
    <row r="19" spans="1:21" ht="22.8" customHeight="1" x14ac:dyDescent="0.5">
      <c r="A19" s="18"/>
      <c r="B19" s="15" t="s">
        <v>112</v>
      </c>
      <c r="C19" s="17">
        <f>INDEX('Task 1-17'!W2:W16,MATCH(Dashboard!C7,'Task 1-17'!S2:S16,0))</f>
        <v>46024</v>
      </c>
      <c r="D19" s="18"/>
      <c r="E19" s="18"/>
      <c r="F19" s="18"/>
      <c r="G19" s="18"/>
      <c r="H19" s="18"/>
      <c r="I19" s="18"/>
      <c r="J19" s="18"/>
      <c r="K19" s="18"/>
      <c r="L19" s="18"/>
      <c r="M19" s="18"/>
      <c r="N19" s="18"/>
      <c r="O19" s="18"/>
      <c r="P19" s="18"/>
      <c r="Q19" s="18"/>
      <c r="R19" s="18"/>
      <c r="S19" s="18"/>
      <c r="T19" s="18"/>
      <c r="U19" s="18"/>
    </row>
    <row r="20" spans="1:21" ht="9" customHeight="1" x14ac:dyDescent="0.3">
      <c r="A20" s="18"/>
      <c r="B20" s="18"/>
      <c r="C20" s="18"/>
      <c r="D20" s="18"/>
      <c r="E20" s="18"/>
      <c r="F20" s="18"/>
      <c r="G20" s="18"/>
      <c r="H20" s="18"/>
      <c r="I20" s="18"/>
      <c r="J20" s="18"/>
      <c r="K20" s="18"/>
      <c r="L20" s="18"/>
      <c r="M20" s="18"/>
      <c r="N20" s="18"/>
      <c r="O20" s="18"/>
      <c r="P20" s="18"/>
      <c r="Q20" s="18"/>
      <c r="R20" s="18"/>
      <c r="S20" s="18"/>
      <c r="T20" s="18"/>
      <c r="U20" s="18"/>
    </row>
  </sheetData>
  <mergeCells count="4">
    <mergeCell ref="B7:B8"/>
    <mergeCell ref="C7:C8"/>
    <mergeCell ref="B5:C6"/>
    <mergeCell ref="B2:K3"/>
  </mergeCells>
  <phoneticPr fontId="1"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Task 1-17</vt:lpstr>
      <vt:lpstr>Task 18-19</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Yashvi Shah</dc:creator>
  <cp:lastModifiedBy>Yashvi Shah</cp:lastModifiedBy>
  <cp:lastPrinted>2026-08-11T10:16:48Z</cp:lastPrinted>
  <dcterms:created xsi:type="dcterms:W3CDTF">2026-08-11T09:28:57Z</dcterms:created>
  <dcterms:modified xsi:type="dcterms:W3CDTF">2026-08-12T12:40:52Z</dcterms:modified>
</cp:coreProperties>
</file>