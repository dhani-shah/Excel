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ASDC5\Downloads\"/>
    </mc:Choice>
  </mc:AlternateContent>
  <xr:revisionPtr revIDLastSave="0" documentId="13_ncr:1_{E9F5FA9C-C7C4-4D83-93C5-F3A883117975}" xr6:coauthVersionLast="47" xr6:coauthVersionMax="47" xr10:uidLastSave="{00000000-0000-0000-0000-000000000000}"/>
  <bookViews>
    <workbookView xWindow="-110" yWindow="-110" windowWidth="19420" windowHeight="10300" firstSheet="1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Answer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6" l="1"/>
  <c r="D50" i="6"/>
  <c r="D51" i="6"/>
  <c r="D52" i="6"/>
  <c r="D53" i="6"/>
  <c r="D48" i="6"/>
  <c r="C26" i="6"/>
  <c r="C27" i="6"/>
  <c r="C28" i="6"/>
  <c r="C29" i="6"/>
  <c r="C30" i="6"/>
  <c r="C31" i="6"/>
  <c r="D20" i="6"/>
  <c r="D21" i="6"/>
  <c r="D22" i="6"/>
  <c r="C124" i="6"/>
  <c r="C125" i="6"/>
  <c r="C126" i="6"/>
  <c r="C127" i="6"/>
  <c r="C123" i="6"/>
  <c r="C119" i="6"/>
  <c r="C114" i="6" a="1"/>
  <c r="C114" i="6" s="1"/>
  <c r="C98" i="6"/>
  <c r="C99" i="6"/>
  <c r="C100" i="6"/>
  <c r="C101" i="6"/>
  <c r="C97" i="6"/>
  <c r="C90" i="6"/>
  <c r="C91" i="6"/>
  <c r="C92" i="6"/>
  <c r="C93" i="6"/>
  <c r="C89" i="6"/>
  <c r="C85" i="6"/>
  <c r="C81" i="6"/>
  <c r="C57" i="6"/>
  <c r="C74" i="6"/>
  <c r="C75" i="6"/>
  <c r="C76" i="6"/>
  <c r="C77" i="6"/>
  <c r="C73" i="6"/>
  <c r="C69" i="6"/>
  <c r="C58" i="6"/>
  <c r="C59" i="6"/>
  <c r="C60" i="6"/>
  <c r="C61" i="6"/>
  <c r="C40" i="6"/>
  <c r="C41" i="6"/>
  <c r="C42" i="6"/>
  <c r="C43" i="6"/>
  <c r="C44" i="6"/>
  <c r="C39" i="6"/>
  <c r="C15" i="6"/>
  <c r="H4" i="6"/>
  <c r="I4" i="6" s="1"/>
  <c r="H6" i="6"/>
  <c r="I6" i="6" s="1"/>
  <c r="H7" i="6"/>
  <c r="I7" i="6" s="1"/>
  <c r="H5" i="6"/>
  <c r="I5" i="6" s="1"/>
  <c r="H3" i="6"/>
  <c r="I3" i="6" s="1"/>
  <c r="H2" i="6"/>
  <c r="I2" i="6" s="1"/>
  <c r="J32" i="5"/>
  <c r="D19" i="6" l="1"/>
  <c r="D65" i="6"/>
  <c r="C65" i="6" s="1"/>
  <c r="C11" i="6" l="1"/>
  <c r="D35" i="6"/>
  <c r="D3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<sst xmlns="http://schemas.openxmlformats.org/spreadsheetml/2006/main" count="196" uniqueCount="118">
  <si>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</si>
  <si>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</si>
  <si>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</si>
  <si>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</si>
  <si>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</si>
  <si>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</si>
  <si>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</si>
  <si>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</si>
  <si>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</si>
  <si>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</si>
  <si>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</si>
  <si>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</si>
  <si>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</si>
  <si>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</si>
  <si>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</si>
  <si>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</si>
  <si>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</si>
  <si>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</si>
  <si>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</si>
  <si>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</si>
  <si>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</si>
  <si>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</si>
  <si>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</si>
  <si>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</si>
  <si>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</si>
  <si>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</si>
  <si>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</si>
  <si>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</si>
  <si>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</si>
  <si>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</si>
  <si>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</si>
  <si>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</si>
  <si>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</si>
  <si>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</si>
  <si>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</si>
  <si>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</si>
  <si>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</si>
  <si>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</si>
  <si>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</si>
  <si>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</si>
  <si>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</si>
  <si>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</si>
  <si>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</si>
  <si>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</si>
  <si>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</si>
  <si>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</si>
  <si>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</si>
  <si>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</si>
  <si>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</si>
  <si>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</si>
  <si>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</si>
  <si>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</si>
  <si>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</si>
  <si>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</si>
  <si>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</si>
  <si>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</si>
  <si>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</si>
  <si>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</si>
  <si>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</si>
  <si>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</si>
  <si>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</si>
  <si>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</si>
  <si>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</si>
  <si>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</si>
  <si>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</si>
  <si>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</si>
  <si>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</si>
  <si>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</si>
  <si>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</si>
  <si>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</si>
  <si>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</si>
  <si>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</si>
  <si>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</si>
  <si>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Q1</t>
  </si>
  <si>
    <t>Q2</t>
  </si>
  <si>
    <t>GST Amount</t>
  </si>
  <si>
    <t>Q3</t>
  </si>
  <si>
    <t>Final Amount</t>
  </si>
  <si>
    <t>Q4</t>
  </si>
  <si>
    <t>Q5</t>
  </si>
  <si>
    <t>Q6</t>
  </si>
  <si>
    <t xml:space="preserve">Region </t>
  </si>
  <si>
    <t>Total Amount</t>
  </si>
  <si>
    <t>Grand Total of Final Amount</t>
  </si>
  <si>
    <t>Count Total Order</t>
  </si>
  <si>
    <t>Sales</t>
  </si>
  <si>
    <t xml:space="preserve">North </t>
  </si>
  <si>
    <t>Q7</t>
  </si>
  <si>
    <t>Q8</t>
  </si>
  <si>
    <t>Maximum</t>
  </si>
  <si>
    <t>Minimum</t>
  </si>
  <si>
    <t>Q9</t>
  </si>
  <si>
    <t>Sale Month</t>
  </si>
  <si>
    <t>Q12</t>
  </si>
  <si>
    <t>Average Marks</t>
  </si>
  <si>
    <t>Q13</t>
  </si>
  <si>
    <t>Topper</t>
  </si>
  <si>
    <t>Q14</t>
  </si>
  <si>
    <t>Above 90% attendance</t>
  </si>
  <si>
    <t>Q15</t>
  </si>
  <si>
    <t>Eligible Students</t>
  </si>
  <si>
    <t>Q20</t>
  </si>
  <si>
    <t>Median Of Statics Marks</t>
  </si>
  <si>
    <t>Q21</t>
  </si>
  <si>
    <t>SD of Excel Marks</t>
  </si>
  <si>
    <t>Q22</t>
  </si>
  <si>
    <t>Concated Name</t>
  </si>
  <si>
    <t>Q23</t>
  </si>
  <si>
    <t>Q24</t>
  </si>
  <si>
    <t>Q25</t>
  </si>
  <si>
    <t>Laptop GT 1</t>
  </si>
  <si>
    <t>Q26</t>
  </si>
  <si>
    <t>Laptop In North region</t>
  </si>
  <si>
    <t>Q27</t>
  </si>
  <si>
    <t>Unit Price</t>
  </si>
  <si>
    <t>ANSWERS</t>
  </si>
  <si>
    <t>First 2 letters of Salesperson</t>
  </si>
  <si>
    <t>Q11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</si>
</sst>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1" defaultTableStyle="TableStyleMedium9" defaultPivotStyle="PivotStyleLight16">
    <tableStyle name="Invisible" pivot="0" table="0" count="0" xr9:uid="{0AC318D8-5D97-41E0-A0B9-898FE009BB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4.5" x14ac:dyDescent="0.35"/>
  <sheetData>
    <row r="1" spans="1:1" x14ac:dyDescent="0.35">
      <c r="A1" t="s">
        <v>72</v>
      </c>
    </row>
    <row r="2" spans="1:1" x14ac:dyDescent="0.35">
      <c r="A2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sqref="A1:G7"/>
    </sheetView>
  </sheetViews>
  <sheetFormatPr defaultRowHeight="14.5" x14ac:dyDescent="0.35"/>
  <sheetData>
    <row r="1" spans="1:7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3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3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3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3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3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3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4.5" x14ac:dyDescent="0.35"/>
  <sheetData>
    <row r="1" spans="1:3" x14ac:dyDescent="0.35">
      <c r="A1" t="s">
        <v>7</v>
      </c>
      <c r="B1" t="s">
        <v>28</v>
      </c>
      <c r="C1" t="s">
        <v>29</v>
      </c>
    </row>
    <row r="2" spans="1:3" x14ac:dyDescent="0.35">
      <c r="A2" t="s">
        <v>13</v>
      </c>
      <c r="B2" t="s">
        <v>30</v>
      </c>
      <c r="C2">
        <v>18</v>
      </c>
    </row>
    <row r="3" spans="1:3" x14ac:dyDescent="0.35">
      <c r="A3" t="s">
        <v>17</v>
      </c>
      <c r="B3" t="s">
        <v>30</v>
      </c>
      <c r="C3">
        <v>12</v>
      </c>
    </row>
    <row r="4" spans="1:3" x14ac:dyDescent="0.3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sqref="A1:F6"/>
    </sheetView>
  </sheetViews>
  <sheetFormatPr defaultRowHeight="14.5" x14ac:dyDescent="0.35"/>
  <sheetData>
    <row r="1" spans="1:6" x14ac:dyDescent="0.3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35">
      <c r="A2">
        <v>1</v>
      </c>
      <c r="B2" t="s">
        <v>37</v>
      </c>
      <c r="C2">
        <v>78</v>
      </c>
      <c r="D2">
        <v>82</v>
      </c>
      <c r="E2">
        <v>85</v>
      </c>
      <c r="F2">
        <v>92</v>
      </c>
    </row>
    <row r="3" spans="1:6" x14ac:dyDescent="0.35">
      <c r="A3">
        <v>2</v>
      </c>
      <c r="B3" t="s">
        <v>38</v>
      </c>
      <c r="C3">
        <v>88</v>
      </c>
      <c r="D3">
        <v>91</v>
      </c>
      <c r="E3">
        <v>90</v>
      </c>
      <c r="F3">
        <v>96</v>
      </c>
    </row>
    <row r="4" spans="1:6" x14ac:dyDescent="0.35">
      <c r="A4">
        <v>3</v>
      </c>
      <c r="B4" t="s">
        <v>39</v>
      </c>
      <c r="C4">
        <v>65</v>
      </c>
      <c r="D4">
        <v>70</v>
      </c>
      <c r="E4">
        <v>72</v>
      </c>
      <c r="F4">
        <v>85</v>
      </c>
    </row>
    <row r="5" spans="1:6" x14ac:dyDescent="0.35">
      <c r="A5">
        <v>4</v>
      </c>
      <c r="B5" t="s">
        <v>40</v>
      </c>
      <c r="C5">
        <v>92</v>
      </c>
      <c r="D5">
        <v>89</v>
      </c>
      <c r="E5">
        <v>94</v>
      </c>
      <c r="F5">
        <v>98</v>
      </c>
    </row>
    <row r="6" spans="1:6" x14ac:dyDescent="0.35">
      <c r="A6">
        <v>5</v>
      </c>
      <c r="B6" t="s">
        <v>41</v>
      </c>
      <c r="C6">
        <v>55</v>
      </c>
      <c r="D6">
        <v>60</v>
      </c>
      <c r="E6">
        <v>58</v>
      </c>
      <c r="F6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topLeftCell="A8" workbookViewId="0">
      <selection activeCell="A10" sqref="A10:E10"/>
    </sheetView>
  </sheetViews>
  <sheetFormatPr defaultRowHeight="14.5" x14ac:dyDescent="0.35"/>
  <sheetData>
    <row r="1" spans="1:10" x14ac:dyDescent="0.35">
      <c r="A1" t="s">
        <v>42</v>
      </c>
      <c r="J1">
        <v>2</v>
      </c>
    </row>
    <row r="2" spans="1:10" x14ac:dyDescent="0.35">
      <c r="A2" t="s">
        <v>43</v>
      </c>
      <c r="J2">
        <v>2</v>
      </c>
    </row>
    <row r="3" spans="1:10" x14ac:dyDescent="0.35">
      <c r="A3" t="s">
        <v>44</v>
      </c>
      <c r="J3">
        <v>2</v>
      </c>
    </row>
    <row r="4" spans="1:10" x14ac:dyDescent="0.35">
      <c r="A4" t="s">
        <v>45</v>
      </c>
      <c r="J4">
        <v>2</v>
      </c>
    </row>
    <row r="5" spans="1:10" x14ac:dyDescent="0.35">
      <c r="A5" t="s">
        <v>46</v>
      </c>
      <c r="J5">
        <v>2</v>
      </c>
    </row>
    <row r="6" spans="1:10" x14ac:dyDescent="0.35">
      <c r="A6" t="s">
        <v>47</v>
      </c>
      <c r="J6">
        <v>2</v>
      </c>
    </row>
    <row r="7" spans="1:10" x14ac:dyDescent="0.35">
      <c r="A7" t="s">
        <v>48</v>
      </c>
      <c r="J7">
        <v>2</v>
      </c>
    </row>
    <row r="8" spans="1:10" x14ac:dyDescent="0.35">
      <c r="A8" t="s">
        <v>49</v>
      </c>
      <c r="J8">
        <v>2</v>
      </c>
    </row>
    <row r="9" spans="1:10" x14ac:dyDescent="0.35">
      <c r="A9" t="s">
        <v>50</v>
      </c>
      <c r="J9">
        <v>2</v>
      </c>
    </row>
    <row r="10" spans="1:10" x14ac:dyDescent="0.35">
      <c r="A10" t="s">
        <v>51</v>
      </c>
      <c r="J10">
        <v>2</v>
      </c>
    </row>
    <row r="11" spans="1:10" x14ac:dyDescent="0.35">
      <c r="A11" t="s">
        <v>52</v>
      </c>
      <c r="J11">
        <v>2</v>
      </c>
    </row>
    <row r="12" spans="1:10" x14ac:dyDescent="0.35">
      <c r="A12" t="s">
        <v>53</v>
      </c>
      <c r="J12">
        <v>2</v>
      </c>
    </row>
    <row r="13" spans="1:10" x14ac:dyDescent="0.35">
      <c r="A13" t="s">
        <v>54</v>
      </c>
      <c r="J13">
        <v>2</v>
      </c>
    </row>
    <row r="14" spans="1:10" x14ac:dyDescent="0.35">
      <c r="A14" t="s">
        <v>55</v>
      </c>
      <c r="J14">
        <v>2</v>
      </c>
    </row>
    <row r="15" spans="1:10" x14ac:dyDescent="0.35">
      <c r="A15" t="s">
        <v>56</v>
      </c>
      <c r="J15">
        <v>2</v>
      </c>
    </row>
    <row r="16" spans="1:10" x14ac:dyDescent="0.35">
      <c r="A16" t="s">
        <v>57</v>
      </c>
      <c r="J16">
        <v>2</v>
      </c>
    </row>
    <row r="17" spans="1:10" x14ac:dyDescent="0.35">
      <c r="A17" t="s">
        <v>58</v>
      </c>
      <c r="J17">
        <v>2</v>
      </c>
    </row>
    <row r="18" spans="1:10" x14ac:dyDescent="0.35">
      <c r="A18" t="s">
        <v>59</v>
      </c>
      <c r="J18">
        <v>2</v>
      </c>
    </row>
    <row r="19" spans="1:10" x14ac:dyDescent="0.35">
      <c r="A19" t="s">
        <v>60</v>
      </c>
      <c r="J19">
        <v>2</v>
      </c>
    </row>
    <row r="20" spans="1:10" x14ac:dyDescent="0.35">
      <c r="A20" t="s">
        <v>61</v>
      </c>
      <c r="J20">
        <v>2</v>
      </c>
    </row>
    <row r="21" spans="1:10" x14ac:dyDescent="0.35">
      <c r="A21" t="s">
        <v>62</v>
      </c>
      <c r="J21">
        <v>2</v>
      </c>
    </row>
    <row r="22" spans="1:10" x14ac:dyDescent="0.35">
      <c r="A22" t="s">
        <v>63</v>
      </c>
      <c r="J22">
        <v>2</v>
      </c>
    </row>
    <row r="23" spans="1:10" x14ac:dyDescent="0.35">
      <c r="A23" t="s">
        <v>64</v>
      </c>
      <c r="J23">
        <v>2</v>
      </c>
    </row>
    <row r="24" spans="1:10" x14ac:dyDescent="0.35">
      <c r="A24" t="s">
        <v>65</v>
      </c>
      <c r="J24">
        <v>2</v>
      </c>
    </row>
    <row r="25" spans="1:10" x14ac:dyDescent="0.35">
      <c r="A25" t="s">
        <v>66</v>
      </c>
      <c r="J25">
        <v>2</v>
      </c>
    </row>
    <row r="26" spans="1:10" x14ac:dyDescent="0.35">
      <c r="A26" t="s">
        <v>67</v>
      </c>
      <c r="J26">
        <v>2</v>
      </c>
    </row>
    <row r="27" spans="1:10" x14ac:dyDescent="0.35">
      <c r="A27" t="s">
        <v>68</v>
      </c>
      <c r="J27">
        <v>2</v>
      </c>
    </row>
    <row r="28" spans="1:10" x14ac:dyDescent="0.35">
      <c r="A28" t="s">
        <v>69</v>
      </c>
      <c r="J28">
        <v>2</v>
      </c>
    </row>
    <row r="29" spans="1:10" x14ac:dyDescent="0.35">
      <c r="A29" t="s">
        <v>70</v>
      </c>
      <c r="J29">
        <v>2</v>
      </c>
    </row>
    <row r="30" spans="1:10" x14ac:dyDescent="0.35">
      <c r="A30" t="s">
        <v>71</v>
      </c>
      <c r="J30">
        <v>2</v>
      </c>
    </row>
    <row r="32" spans="1:10" x14ac:dyDescent="0.35">
      <c r="J32">
        <f>SUM(J1:J30)</f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0994-4D9E-4587-867F-CFC8071D1510}">
  <dimension ref="A1:DL527"/>
  <sheetViews>
    <sheetView tabSelected="1" zoomScaleNormal="100" workbookViewId="0">
      <pane ySplit="1" topLeftCell="A56" activePane="bottomLeft" state="frozen"/>
      <selection pane="bottomLeft" activeCell="L1" sqref="L1:N4"/>
    </sheetView>
  </sheetViews>
  <sheetFormatPr defaultRowHeight="14.5" x14ac:dyDescent="0.35"/>
  <cols>
    <col min="1" max="1" width="10" bestFit="1" customWidth="1"/>
    <col min="2" max="2" width="6.90625" bestFit="1" customWidth="1"/>
    <col min="3" max="3" width="25.36328125" bestFit="1" customWidth="1"/>
    <col min="4" max="4" width="13.90625" bestFit="1" customWidth="1"/>
    <col min="5" max="5" width="12" bestFit="1" customWidth="1"/>
    <col min="6" max="6" width="9.90625" bestFit="1" customWidth="1"/>
    <col min="7" max="7" width="10.08984375" bestFit="1" customWidth="1"/>
    <col min="8" max="8" width="12.36328125" bestFit="1" customWidth="1"/>
    <col min="9" max="9" width="11.26953125" bestFit="1" customWidth="1"/>
    <col min="10" max="10" width="12" bestFit="1" customWidth="1"/>
    <col min="11" max="11" width="6.6328125" bestFit="1" customWidth="1"/>
    <col min="12" max="12" width="7.453125" bestFit="1" customWidth="1"/>
    <col min="13" max="13" width="9.7265625" bestFit="1" customWidth="1"/>
    <col min="14" max="15" width="6.453125" bestFit="1" customWidth="1"/>
    <col min="16" max="16" width="10.26953125" bestFit="1" customWidth="1"/>
    <col min="17" max="17" width="5.90625" bestFit="1" customWidth="1"/>
    <col min="18" max="18" width="6.1796875" bestFit="1" customWidth="1"/>
    <col min="19" max="19" width="8.26953125" bestFit="1" customWidth="1"/>
    <col min="20" max="20" width="5" bestFit="1" customWidth="1"/>
    <col min="21" max="21" width="13.08984375" bestFit="1" customWidth="1"/>
    <col min="22" max="22" width="7" bestFit="1" customWidth="1"/>
  </cols>
  <sheetData>
    <row r="1" spans="1:116" x14ac:dyDescent="0.35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2" t="s">
        <v>82</v>
      </c>
      <c r="I1" s="2" t="s">
        <v>75</v>
      </c>
      <c r="J1" s="2" t="s">
        <v>77</v>
      </c>
      <c r="L1" s="8" t="s">
        <v>7</v>
      </c>
      <c r="M1" s="8" t="s">
        <v>28</v>
      </c>
      <c r="N1" s="8" t="s">
        <v>29</v>
      </c>
      <c r="P1" s="8" t="s">
        <v>31</v>
      </c>
      <c r="Q1" s="8" t="s">
        <v>32</v>
      </c>
      <c r="R1" s="8" t="s">
        <v>33</v>
      </c>
      <c r="S1" s="8" t="s">
        <v>34</v>
      </c>
      <c r="T1" s="8" t="s">
        <v>35</v>
      </c>
      <c r="U1" s="8" t="s">
        <v>36</v>
      </c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</row>
    <row r="2" spans="1:116" x14ac:dyDescent="0.35">
      <c r="A2" s="9">
        <v>301</v>
      </c>
      <c r="B2" s="9" t="s">
        <v>11</v>
      </c>
      <c r="C2" s="9" t="s">
        <v>12</v>
      </c>
      <c r="D2" s="9" t="s">
        <v>13</v>
      </c>
      <c r="E2" s="9">
        <v>2</v>
      </c>
      <c r="F2" s="9">
        <v>45000</v>
      </c>
      <c r="G2" s="9" t="s">
        <v>14</v>
      </c>
      <c r="H2" s="1">
        <f>F2*E2</f>
        <v>90000</v>
      </c>
      <c r="I2" s="1">
        <f>H2*VLOOKUP(D2,$L$1:$N$4,3,0)%</f>
        <v>16200</v>
      </c>
      <c r="J2" s="1">
        <v>106200</v>
      </c>
      <c r="L2" s="9" t="s">
        <v>13</v>
      </c>
      <c r="M2" s="9" t="s">
        <v>30</v>
      </c>
      <c r="N2" s="9">
        <v>18</v>
      </c>
      <c r="P2" s="9">
        <v>1</v>
      </c>
      <c r="Q2" s="9" t="s">
        <v>37</v>
      </c>
      <c r="R2" s="9">
        <v>78</v>
      </c>
      <c r="S2" s="9">
        <v>82</v>
      </c>
      <c r="T2" s="9">
        <v>85</v>
      </c>
      <c r="U2" s="9">
        <v>92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</row>
    <row r="3" spans="1:116" x14ac:dyDescent="0.35">
      <c r="A3" s="9">
        <v>306</v>
      </c>
      <c r="B3" s="9" t="s">
        <v>15</v>
      </c>
      <c r="C3" s="9" t="s">
        <v>16</v>
      </c>
      <c r="D3" s="9" t="s">
        <v>13</v>
      </c>
      <c r="E3" s="9">
        <v>2</v>
      </c>
      <c r="F3" s="9">
        <v>45000</v>
      </c>
      <c r="G3" s="9" t="s">
        <v>27</v>
      </c>
      <c r="H3" s="1">
        <f>F3*E3</f>
        <v>90000</v>
      </c>
      <c r="I3" s="1">
        <f>H3*VLOOKUP(D3,$L$1:$N$4,3,0)%</f>
        <v>16200</v>
      </c>
      <c r="J3" s="1">
        <v>106200</v>
      </c>
      <c r="L3" s="9" t="s">
        <v>17</v>
      </c>
      <c r="M3" s="9" t="s">
        <v>30</v>
      </c>
      <c r="N3" s="9">
        <v>12</v>
      </c>
      <c r="P3" s="9">
        <v>2</v>
      </c>
      <c r="Q3" s="9" t="s">
        <v>38</v>
      </c>
      <c r="R3" s="9">
        <v>88</v>
      </c>
      <c r="S3" s="9">
        <v>91</v>
      </c>
      <c r="T3" s="9">
        <v>90</v>
      </c>
      <c r="U3" s="9">
        <v>96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</row>
    <row r="4" spans="1:116" x14ac:dyDescent="0.35">
      <c r="A4" s="9">
        <v>302</v>
      </c>
      <c r="B4" s="9" t="s">
        <v>15</v>
      </c>
      <c r="C4" s="9" t="s">
        <v>16</v>
      </c>
      <c r="D4" s="9" t="s">
        <v>17</v>
      </c>
      <c r="E4" s="9">
        <v>5</v>
      </c>
      <c r="F4" s="9">
        <v>15000</v>
      </c>
      <c r="G4" s="9" t="s">
        <v>18</v>
      </c>
      <c r="H4" s="1">
        <f>F4*E4</f>
        <v>75000</v>
      </c>
      <c r="I4" s="1">
        <f>H4*VLOOKUP(D4,$L$1:$N$4,3,0)%</f>
        <v>9000</v>
      </c>
      <c r="J4" s="1">
        <v>84000</v>
      </c>
      <c r="L4" s="9" t="s">
        <v>21</v>
      </c>
      <c r="M4" s="9" t="s">
        <v>30</v>
      </c>
      <c r="N4" s="9">
        <v>12</v>
      </c>
      <c r="P4" s="9">
        <v>3</v>
      </c>
      <c r="Q4" s="9" t="s">
        <v>39</v>
      </c>
      <c r="R4" s="9">
        <v>65</v>
      </c>
      <c r="S4" s="9">
        <v>70</v>
      </c>
      <c r="T4" s="9">
        <v>72</v>
      </c>
      <c r="U4" s="9">
        <v>85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</row>
    <row r="5" spans="1:116" x14ac:dyDescent="0.35">
      <c r="A5" s="9">
        <v>305</v>
      </c>
      <c r="B5" s="9" t="s">
        <v>11</v>
      </c>
      <c r="C5" s="9" t="s">
        <v>12</v>
      </c>
      <c r="D5" s="9" t="s">
        <v>17</v>
      </c>
      <c r="E5" s="9">
        <v>4</v>
      </c>
      <c r="F5" s="9">
        <v>15000</v>
      </c>
      <c r="G5" s="9" t="s">
        <v>26</v>
      </c>
      <c r="H5" s="1">
        <f>F5*E5</f>
        <v>60000</v>
      </c>
      <c r="I5" s="1">
        <f>H5*VLOOKUP(D5,$L$1:$N$4,3,0)%</f>
        <v>7200</v>
      </c>
      <c r="J5" s="1">
        <v>67200</v>
      </c>
      <c r="K5" s="4"/>
      <c r="P5" s="9">
        <v>4</v>
      </c>
      <c r="Q5" s="9" t="s">
        <v>40</v>
      </c>
      <c r="R5" s="9">
        <v>92</v>
      </c>
      <c r="S5" s="9">
        <v>89</v>
      </c>
      <c r="T5" s="9">
        <v>94</v>
      </c>
      <c r="U5" s="9">
        <v>98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</row>
    <row r="6" spans="1:116" x14ac:dyDescent="0.35">
      <c r="A6" s="9">
        <v>303</v>
      </c>
      <c r="B6" s="9" t="s">
        <v>19</v>
      </c>
      <c r="C6" s="9" t="s">
        <v>20</v>
      </c>
      <c r="D6" s="9" t="s">
        <v>21</v>
      </c>
      <c r="E6" s="9">
        <v>3</v>
      </c>
      <c r="F6" s="9">
        <v>18000</v>
      </c>
      <c r="G6" s="9" t="s">
        <v>22</v>
      </c>
      <c r="H6" s="1">
        <f>F6*E6</f>
        <v>54000</v>
      </c>
      <c r="I6" s="1">
        <f>H6*VLOOKUP(D6,$L$1:$N$4,3,0)%</f>
        <v>6480</v>
      </c>
      <c r="J6" s="1">
        <v>60480</v>
      </c>
      <c r="K6" s="4"/>
      <c r="L6" s="4"/>
      <c r="P6" s="9">
        <v>5</v>
      </c>
      <c r="Q6" s="9" t="s">
        <v>41</v>
      </c>
      <c r="R6" s="9">
        <v>55</v>
      </c>
      <c r="S6" s="9">
        <v>60</v>
      </c>
      <c r="T6" s="9">
        <v>58</v>
      </c>
      <c r="U6" s="9">
        <v>80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</row>
    <row r="7" spans="1:116" x14ac:dyDescent="0.35">
      <c r="A7" s="9">
        <v>304</v>
      </c>
      <c r="B7" s="9" t="s">
        <v>23</v>
      </c>
      <c r="C7" s="9" t="s">
        <v>24</v>
      </c>
      <c r="D7" s="9" t="s">
        <v>13</v>
      </c>
      <c r="E7" s="9">
        <v>1</v>
      </c>
      <c r="F7" s="9">
        <v>45000</v>
      </c>
      <c r="G7" s="9" t="s">
        <v>25</v>
      </c>
      <c r="H7" s="1">
        <f>F7*E7</f>
        <v>45000</v>
      </c>
      <c r="I7" s="1">
        <f>H7*VLOOKUP(D7,$L$1:$N$4,3,0)%</f>
        <v>8100</v>
      </c>
      <c r="J7" s="1">
        <v>53100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</row>
    <row r="8" spans="1:116" x14ac:dyDescent="0.35">
      <c r="A8" s="4"/>
      <c r="B8" s="4"/>
      <c r="C8" s="4"/>
      <c r="D8" s="4"/>
      <c r="E8" s="4"/>
      <c r="F8" s="4"/>
      <c r="G8" s="4"/>
      <c r="H8" s="10" t="s">
        <v>73</v>
      </c>
      <c r="I8" s="10" t="s">
        <v>74</v>
      </c>
      <c r="J8" s="10" t="s">
        <v>76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</row>
    <row r="9" spans="1:116" x14ac:dyDescent="0.3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</row>
    <row r="10" spans="1:116" x14ac:dyDescent="0.35">
      <c r="A10" s="5" t="s">
        <v>115</v>
      </c>
      <c r="B10" s="10" t="s">
        <v>78</v>
      </c>
      <c r="C10" s="2" t="s">
        <v>83</v>
      </c>
      <c r="F10" s="4"/>
      <c r="G10" s="4"/>
      <c r="H10" s="4"/>
      <c r="I10" s="4"/>
      <c r="J10" s="4"/>
      <c r="K10" s="4"/>
      <c r="L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</row>
    <row r="11" spans="1:116" x14ac:dyDescent="0.35">
      <c r="A11" s="4"/>
      <c r="B11" s="1"/>
      <c r="C11" s="1">
        <f>SUM(J2:J7)</f>
        <v>477180</v>
      </c>
      <c r="F11" s="4"/>
      <c r="G11" s="4"/>
      <c r="H11" s="4"/>
      <c r="J11" s="4"/>
      <c r="K11" s="4"/>
      <c r="L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</row>
    <row r="12" spans="1:116" x14ac:dyDescent="0.35">
      <c r="A12" s="4"/>
      <c r="B12" s="12"/>
      <c r="F12" s="4"/>
      <c r="G12" s="4"/>
      <c r="H12" s="4"/>
      <c r="I12" s="4"/>
      <c r="J12" s="4"/>
      <c r="K12" s="4"/>
      <c r="L12" s="4"/>
      <c r="P12" s="4"/>
      <c r="Q12" s="3"/>
      <c r="R12" s="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</row>
    <row r="13" spans="1:116" x14ac:dyDescent="0.35">
      <c r="A13" s="4"/>
      <c r="B13" s="12"/>
      <c r="F13" s="4"/>
      <c r="G13" s="4"/>
      <c r="H13" s="4"/>
      <c r="I13" s="4"/>
      <c r="J13" s="4"/>
      <c r="K13" s="4"/>
      <c r="L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</row>
    <row r="14" spans="1:116" x14ac:dyDescent="0.35">
      <c r="A14" s="4"/>
      <c r="B14" s="10" t="s">
        <v>79</v>
      </c>
      <c r="C14" s="2" t="s">
        <v>84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</row>
    <row r="15" spans="1:116" x14ac:dyDescent="0.35">
      <c r="A15" s="4"/>
      <c r="B15" s="1"/>
      <c r="C15" s="1">
        <f>COUNT(E2:E7)</f>
        <v>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</row>
    <row r="16" spans="1:116" x14ac:dyDescent="0.35">
      <c r="A16" s="4"/>
      <c r="B16" s="1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</row>
    <row r="17" spans="1:116" x14ac:dyDescent="0.3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</row>
    <row r="18" spans="1:116" x14ac:dyDescent="0.35">
      <c r="A18" s="4"/>
      <c r="B18" s="10" t="s">
        <v>80</v>
      </c>
      <c r="C18" s="2" t="s">
        <v>81</v>
      </c>
      <c r="D18" s="2" t="s">
        <v>85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</row>
    <row r="19" spans="1:116" x14ac:dyDescent="0.35">
      <c r="A19" s="4"/>
      <c r="B19" s="1"/>
      <c r="C19" s="1" t="s">
        <v>86</v>
      </c>
      <c r="D19" s="1">
        <f>SUMIF(B2:B7,B2,H2:H7)</f>
        <v>150000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</row>
    <row r="20" spans="1:116" x14ac:dyDescent="0.35">
      <c r="A20" s="4"/>
      <c r="B20" s="1"/>
      <c r="C20" s="1" t="s">
        <v>15</v>
      </c>
      <c r="D20" s="1">
        <f ca="1">SUMIF(B3:B8,B3,B14:B17)</f>
        <v>0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</row>
    <row r="21" spans="1:116" x14ac:dyDescent="0.35">
      <c r="A21" s="4"/>
      <c r="B21" s="1"/>
      <c r="C21" s="1" t="s">
        <v>19</v>
      </c>
      <c r="D21" s="1">
        <f ca="1">SUMIF(B4:B9,B4,B16:B17)</f>
        <v>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</row>
    <row r="22" spans="1:116" x14ac:dyDescent="0.35">
      <c r="A22" s="4"/>
      <c r="B22" s="1"/>
      <c r="C22" s="1" t="s">
        <v>23</v>
      </c>
      <c r="D22" s="1">
        <f ca="1">SUMIF(B5:B9,B5,B16:B17)</f>
        <v>0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</row>
    <row r="23" spans="1:116" x14ac:dyDescent="0.3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</row>
    <row r="24" spans="1:116" x14ac:dyDescent="0.3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</row>
    <row r="25" spans="1:116" x14ac:dyDescent="0.35">
      <c r="A25" s="4"/>
      <c r="B25" s="10" t="s">
        <v>87</v>
      </c>
      <c r="C25" s="2" t="s">
        <v>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</row>
    <row r="26" spans="1:116" x14ac:dyDescent="0.35">
      <c r="A26" s="4"/>
      <c r="B26" s="1"/>
      <c r="C26" s="1" t="str">
        <f>IF(E2&gt;3,"High","Low")</f>
        <v>Low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</row>
    <row r="27" spans="1:116" x14ac:dyDescent="0.35">
      <c r="A27" s="4"/>
      <c r="B27" s="1"/>
      <c r="C27" s="1" t="str">
        <f>IF(E3&gt;3,"High","Low")</f>
        <v>Low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</row>
    <row r="28" spans="1:116" x14ac:dyDescent="0.35">
      <c r="A28" s="4"/>
      <c r="B28" s="1"/>
      <c r="C28" s="1" t="str">
        <f>IF(E4&gt;3,"High","Low")</f>
        <v>High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</row>
    <row r="29" spans="1:116" x14ac:dyDescent="0.35">
      <c r="A29" s="4"/>
      <c r="B29" s="1"/>
      <c r="C29" s="1" t="str">
        <f>IF(E5&gt;3,"High","Low")</f>
        <v>High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</row>
    <row r="30" spans="1:116" x14ac:dyDescent="0.35">
      <c r="A30" s="4"/>
      <c r="B30" s="1"/>
      <c r="C30" s="1" t="str">
        <f>IF(E6&gt;3,"High","Low")</f>
        <v>Low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</row>
    <row r="31" spans="1:116" x14ac:dyDescent="0.35">
      <c r="A31" s="4"/>
      <c r="B31" s="1"/>
      <c r="C31" s="1" t="str">
        <f>IF(E7&gt;3,"High","Low")</f>
        <v>Low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</row>
    <row r="32" spans="1:116" x14ac:dyDescent="0.3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</row>
    <row r="33" spans="1:116" x14ac:dyDescent="0.3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</row>
    <row r="34" spans="1:116" x14ac:dyDescent="0.35">
      <c r="A34" s="4"/>
      <c r="B34" s="10" t="s">
        <v>88</v>
      </c>
      <c r="C34" s="2" t="s">
        <v>89</v>
      </c>
      <c r="D34" s="1">
        <f>MAX(Answers!J2:J7)</f>
        <v>106200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</row>
    <row r="35" spans="1:116" x14ac:dyDescent="0.35">
      <c r="A35" s="4"/>
      <c r="B35" s="2"/>
      <c r="C35" s="2" t="s">
        <v>90</v>
      </c>
      <c r="D35" s="1">
        <f>MIN(J2:J7)</f>
        <v>53100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</row>
    <row r="36" spans="1:116" x14ac:dyDescent="0.3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</row>
    <row r="37" spans="1:116" x14ac:dyDescent="0.3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</row>
    <row r="38" spans="1:116" x14ac:dyDescent="0.35">
      <c r="A38" s="4"/>
      <c r="B38" s="10" t="s">
        <v>91</v>
      </c>
      <c r="C38" s="2" t="s">
        <v>92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</row>
    <row r="39" spans="1:116" x14ac:dyDescent="0.35">
      <c r="A39" s="4"/>
      <c r="B39" s="1"/>
      <c r="C39" s="1" t="str">
        <f>TEXT(G2,"mmmm")</f>
        <v>January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</row>
    <row r="40" spans="1:116" x14ac:dyDescent="0.35">
      <c r="A40" s="4"/>
      <c r="B40" s="1"/>
      <c r="C40" s="1" t="str">
        <f>TEXT(G3,"mmmm")</f>
        <v>January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</row>
    <row r="41" spans="1:116" x14ac:dyDescent="0.35">
      <c r="A41" s="4"/>
      <c r="B41" s="1"/>
      <c r="C41" s="1" t="str">
        <f>TEXT(G4,"mmmm")</f>
        <v>January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</row>
    <row r="42" spans="1:116" x14ac:dyDescent="0.35">
      <c r="A42" s="4"/>
      <c r="B42" s="1"/>
      <c r="C42" s="1" t="str">
        <f>TEXT(G5,"mmmm")</f>
        <v>January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</row>
    <row r="43" spans="1:116" x14ac:dyDescent="0.35">
      <c r="A43" s="4"/>
      <c r="B43" s="1"/>
      <c r="C43" s="1" t="str">
        <f>TEXT(G6,"mmmm")</f>
        <v>January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</row>
    <row r="44" spans="1:116" x14ac:dyDescent="0.35">
      <c r="A44" s="4"/>
      <c r="B44" s="1"/>
      <c r="C44" s="1" t="str">
        <f>TEXT(G7,"mmmm")</f>
        <v>January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</row>
    <row r="45" spans="1:116" x14ac:dyDescent="0.35">
      <c r="A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</row>
    <row r="46" spans="1:116" x14ac:dyDescent="0.35">
      <c r="A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</row>
    <row r="47" spans="1:116" x14ac:dyDescent="0.35">
      <c r="A47" s="4"/>
      <c r="B47" s="15" t="s">
        <v>117</v>
      </c>
      <c r="C47" s="11" t="s">
        <v>7</v>
      </c>
      <c r="D47" s="11" t="s">
        <v>28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</row>
    <row r="48" spans="1:116" x14ac:dyDescent="0.35">
      <c r="A48" s="4"/>
      <c r="B48" s="16"/>
      <c r="C48" s="14" t="s">
        <v>13</v>
      </c>
      <c r="D48" s="1" t="str">
        <f>INDEX($M$2:$M$4,MATCH(D2,$L$2:$L$4,0))</f>
        <v>Electronics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</row>
    <row r="49" spans="1:116" x14ac:dyDescent="0.35">
      <c r="A49" s="4"/>
      <c r="B49" s="16"/>
      <c r="C49" s="14" t="s">
        <v>13</v>
      </c>
      <c r="D49" s="1" t="str">
        <f>INDEX($M$2:$M$4,MATCH(D3,$L$2:$L$4,0))</f>
        <v>Electronics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</row>
    <row r="50" spans="1:116" x14ac:dyDescent="0.35">
      <c r="A50" s="4"/>
      <c r="B50" s="16"/>
      <c r="C50" s="14" t="s">
        <v>17</v>
      </c>
      <c r="D50" s="1" t="str">
        <f>INDEX($M$2:$M$4,MATCH(D4,$L$2:$L$4,0))</f>
        <v>Electronics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</row>
    <row r="51" spans="1:116" x14ac:dyDescent="0.35">
      <c r="A51" s="4"/>
      <c r="B51" s="16"/>
      <c r="C51" s="14" t="s">
        <v>17</v>
      </c>
      <c r="D51" s="1" t="str">
        <f>INDEX($M$2:$M$4,MATCH(D5,$L$2:$L$4,0))</f>
        <v>Electronics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</row>
    <row r="52" spans="1:116" x14ac:dyDescent="0.35">
      <c r="A52" s="4"/>
      <c r="B52" s="16"/>
      <c r="C52" s="14" t="s">
        <v>21</v>
      </c>
      <c r="D52" s="1" t="str">
        <f>INDEX($M$2:$M$4,MATCH(D6,$L$2:$L$4,0))</f>
        <v>Electronics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</row>
    <row r="53" spans="1:116" x14ac:dyDescent="0.35">
      <c r="A53" s="4"/>
      <c r="B53" s="16"/>
      <c r="C53" s="14" t="s">
        <v>13</v>
      </c>
      <c r="D53" s="1" t="str">
        <f>INDEX($M$2:$M$4,MATCH(D7,$L$2:$L$4,0))</f>
        <v>Electronics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</row>
    <row r="54" spans="1:116" x14ac:dyDescent="0.35">
      <c r="A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</row>
    <row r="55" spans="1:116" x14ac:dyDescent="0.35">
      <c r="A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</row>
    <row r="56" spans="1:116" x14ac:dyDescent="0.35">
      <c r="A56" s="4"/>
      <c r="B56" s="10" t="s">
        <v>93</v>
      </c>
      <c r="C56" s="2" t="s">
        <v>94</v>
      </c>
      <c r="D56" s="3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</row>
    <row r="57" spans="1:116" x14ac:dyDescent="0.35">
      <c r="A57" s="4"/>
      <c r="B57" s="1"/>
      <c r="C57" s="6">
        <f>AVERAGE(R2:T2)</f>
        <v>81.666666666666671</v>
      </c>
      <c r="D57" s="7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</row>
    <row r="58" spans="1:116" x14ac:dyDescent="0.35">
      <c r="A58" s="4"/>
      <c r="B58" s="1"/>
      <c r="C58" s="6">
        <f>AVERAGE(R3:T3)</f>
        <v>89.666666666666671</v>
      </c>
      <c r="D58" s="7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</row>
    <row r="59" spans="1:116" x14ac:dyDescent="0.35">
      <c r="A59" s="4"/>
      <c r="B59" s="1"/>
      <c r="C59" s="6">
        <f>AVERAGE(R4:T4)</f>
        <v>69</v>
      </c>
      <c r="D59" s="7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</row>
    <row r="60" spans="1:116" x14ac:dyDescent="0.35">
      <c r="A60" s="4"/>
      <c r="B60" s="1"/>
      <c r="C60" s="6">
        <f>AVERAGE(R5:T5)</f>
        <v>91.666666666666671</v>
      </c>
      <c r="D60" s="7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</row>
    <row r="61" spans="1:116" x14ac:dyDescent="0.35">
      <c r="A61" s="4"/>
      <c r="B61" s="1"/>
      <c r="C61" s="6">
        <f>AVERAGE(R6:T6)</f>
        <v>57.666666666666664</v>
      </c>
      <c r="D61" s="7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</row>
    <row r="62" spans="1:116" x14ac:dyDescent="0.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</row>
    <row r="63" spans="1:116" x14ac:dyDescent="0.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</row>
    <row r="64" spans="1:116" x14ac:dyDescent="0.35">
      <c r="A64" s="4"/>
      <c r="B64" s="10" t="s">
        <v>95</v>
      </c>
      <c r="C64" s="2" t="s">
        <v>96</v>
      </c>
      <c r="D64" s="2" t="s">
        <v>94</v>
      </c>
      <c r="E64" s="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</row>
    <row r="65" spans="1:116" x14ac:dyDescent="0.35">
      <c r="A65" s="4"/>
      <c r="B65" s="1"/>
      <c r="C65" s="1" t="str">
        <f>_xlfn.XLOOKUP(D65,C57:C61,Q2:Q6)</f>
        <v>Pooja</v>
      </c>
      <c r="D65" s="6">
        <f>MAX(C57:C61)</f>
        <v>91.666666666666671</v>
      </c>
      <c r="E65" s="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</row>
    <row r="66" spans="1:116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</row>
    <row r="67" spans="1:116" x14ac:dyDescent="0.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</row>
    <row r="68" spans="1:116" x14ac:dyDescent="0.35">
      <c r="A68" s="4"/>
      <c r="B68" s="10" t="s">
        <v>97</v>
      </c>
      <c r="C68" s="2" t="s">
        <v>98</v>
      </c>
      <c r="D68" s="3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</row>
    <row r="69" spans="1:116" x14ac:dyDescent="0.35">
      <c r="A69" s="4"/>
      <c r="B69" s="1"/>
      <c r="C69" s="1">
        <f>COUNTIF(U2:U6,"&gt;90")</f>
        <v>3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</row>
    <row r="70" spans="1:116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</row>
    <row r="71" spans="1:116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</row>
    <row r="72" spans="1:116" x14ac:dyDescent="0.35">
      <c r="A72" s="4"/>
      <c r="B72" s="10" t="s">
        <v>99</v>
      </c>
      <c r="C72" s="2" t="s">
        <v>100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</row>
    <row r="73" spans="1:116" x14ac:dyDescent="0.35">
      <c r="A73" s="4"/>
      <c r="B73" s="1"/>
      <c r="C73" s="1" t="str">
        <f>IF(U2&gt;85,"Eligible","Not Eligible")</f>
        <v>Eligible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</row>
    <row r="74" spans="1:116" x14ac:dyDescent="0.35">
      <c r="A74" s="4"/>
      <c r="B74" s="1"/>
      <c r="C74" s="1" t="str">
        <f>IF(U3&gt;85,"Eligible","Not Eligible")</f>
        <v>Eligible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</row>
    <row r="75" spans="1:116" x14ac:dyDescent="0.35">
      <c r="A75" s="4"/>
      <c r="B75" s="1"/>
      <c r="C75" s="1" t="str">
        <f>IF(U4&gt;85,"Eligible","Not Eligible")</f>
        <v>Not Eligible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</row>
    <row r="76" spans="1:116" x14ac:dyDescent="0.35">
      <c r="A76" s="4"/>
      <c r="B76" s="1"/>
      <c r="C76" s="1" t="str">
        <f>IF(U5&gt;85,"Eligible","Not Eligible")</f>
        <v>Eligible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</row>
    <row r="77" spans="1:116" x14ac:dyDescent="0.35">
      <c r="A77" s="4"/>
      <c r="B77" s="1"/>
      <c r="C77" s="1" t="str">
        <f>IF(U6&gt;85,"Eligible","Not Eligible")</f>
        <v>Not Eligible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</row>
    <row r="78" spans="1:116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</row>
    <row r="79" spans="1:116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</row>
    <row r="80" spans="1:116" x14ac:dyDescent="0.35">
      <c r="A80" s="4"/>
      <c r="B80" s="10" t="s">
        <v>101</v>
      </c>
      <c r="C80" s="2" t="s">
        <v>102</v>
      </c>
      <c r="D80" s="3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</row>
    <row r="81" spans="1:116" x14ac:dyDescent="0.35">
      <c r="A81" s="4"/>
      <c r="B81" s="1"/>
      <c r="C81" s="1">
        <f>MEDIAN(S2:S6)</f>
        <v>82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</row>
    <row r="82" spans="1:116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</row>
    <row r="83" spans="1:116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</row>
    <row r="84" spans="1:116" x14ac:dyDescent="0.35">
      <c r="A84" s="4"/>
      <c r="B84" s="10" t="s">
        <v>103</v>
      </c>
      <c r="C84" s="2" t="s">
        <v>104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</row>
    <row r="85" spans="1:116" x14ac:dyDescent="0.35">
      <c r="A85" s="4"/>
      <c r="B85" s="1"/>
      <c r="C85" s="6">
        <f>_xlfn.STDEV.P(T2:T6)</f>
        <v>13.181805642627264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</row>
    <row r="86" spans="1:116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</row>
    <row r="87" spans="1:116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</row>
    <row r="88" spans="1:116" x14ac:dyDescent="0.35">
      <c r="A88" s="4"/>
      <c r="B88" s="10" t="s">
        <v>105</v>
      </c>
      <c r="C88" s="2" t="s">
        <v>106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</row>
    <row r="89" spans="1:116" x14ac:dyDescent="0.35">
      <c r="A89" s="4"/>
      <c r="B89" s="1"/>
      <c r="C89" s="1" t="str">
        <f>_xlfn.CONCAT(P2,"-",Answers!Q2)</f>
        <v>1-Rahul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</row>
    <row r="90" spans="1:116" x14ac:dyDescent="0.35">
      <c r="A90" s="4"/>
      <c r="B90" s="1"/>
      <c r="C90" s="1" t="str">
        <f>_xlfn.CONCAT(P3,"-",Answers!Q3)</f>
        <v>2-Sneha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</row>
    <row r="91" spans="1:116" x14ac:dyDescent="0.35">
      <c r="A91" s="4"/>
      <c r="B91" s="1"/>
      <c r="C91" s="1" t="str">
        <f>_xlfn.CONCAT(P4,"-",Answers!Q4)</f>
        <v>3-Arjun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</row>
    <row r="92" spans="1:116" x14ac:dyDescent="0.35">
      <c r="A92" s="4"/>
      <c r="B92" s="1"/>
      <c r="C92" s="1" t="str">
        <f>_xlfn.CONCAT(P5,"-",Answers!Q5)</f>
        <v>4-Pooja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</row>
    <row r="93" spans="1:116" x14ac:dyDescent="0.35">
      <c r="A93" s="4"/>
      <c r="B93" s="1"/>
      <c r="C93" s="1" t="str">
        <f>_xlfn.CONCAT(P6,"-",Answers!Q6)</f>
        <v>5-Vikas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</row>
    <row r="94" spans="1:116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</row>
    <row r="95" spans="1:116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</row>
    <row r="96" spans="1:116" x14ac:dyDescent="0.35">
      <c r="A96" s="4"/>
      <c r="B96" s="10" t="s">
        <v>107</v>
      </c>
      <c r="C96" s="2" t="s">
        <v>116</v>
      </c>
      <c r="D96" s="3"/>
      <c r="E96" s="3"/>
      <c r="F96" s="3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</row>
    <row r="97" spans="1:116" x14ac:dyDescent="0.35">
      <c r="A97" s="4"/>
      <c r="B97" s="1"/>
      <c r="C97" s="1" t="str">
        <f>LEFT(C2,2)</f>
        <v>Am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</row>
    <row r="98" spans="1:116" x14ac:dyDescent="0.35">
      <c r="A98" s="4"/>
      <c r="B98" s="1"/>
      <c r="C98" s="1" t="str">
        <f>LEFT(C3,2)</f>
        <v>Ri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</row>
    <row r="99" spans="1:116" x14ac:dyDescent="0.35">
      <c r="A99" s="4"/>
      <c r="B99" s="1"/>
      <c r="C99" s="1" t="str">
        <f>LEFT(C4,2)</f>
        <v>Ri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</row>
    <row r="100" spans="1:116" x14ac:dyDescent="0.35">
      <c r="A100" s="4"/>
      <c r="B100" s="1"/>
      <c r="C100" s="1" t="str">
        <f>LEFT(C5,2)</f>
        <v>Am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</row>
    <row r="101" spans="1:116" x14ac:dyDescent="0.35">
      <c r="A101" s="4"/>
      <c r="B101" s="1"/>
      <c r="C101" s="1" t="str">
        <f>LEFT(C6,2)</f>
        <v>Ku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</row>
    <row r="102" spans="1:116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</row>
    <row r="103" spans="1:116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</row>
    <row r="104" spans="1:116" x14ac:dyDescent="0.35">
      <c r="A104" s="4"/>
      <c r="B104" s="10" t="s">
        <v>108</v>
      </c>
      <c r="C104" s="2" t="s">
        <v>77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</row>
    <row r="105" spans="1:116" x14ac:dyDescent="0.35">
      <c r="A105" s="4"/>
      <c r="B105" s="1"/>
      <c r="C105" s="1">
        <v>106200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</row>
    <row r="106" spans="1:116" x14ac:dyDescent="0.35">
      <c r="A106" s="4"/>
      <c r="B106" s="1"/>
      <c r="C106" s="1">
        <v>84000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</row>
    <row r="107" spans="1:116" x14ac:dyDescent="0.35">
      <c r="A107" s="4"/>
      <c r="B107" s="1"/>
      <c r="C107" s="1">
        <v>60480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</row>
    <row r="108" spans="1:116" x14ac:dyDescent="0.35">
      <c r="A108" s="4"/>
      <c r="B108" s="1"/>
      <c r="C108" s="1">
        <v>53100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</row>
    <row r="109" spans="1:116" x14ac:dyDescent="0.35">
      <c r="A109" s="4"/>
      <c r="B109" s="1"/>
      <c r="C109" s="1">
        <v>67200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</row>
    <row r="110" spans="1:116" x14ac:dyDescent="0.35">
      <c r="A110" s="4"/>
      <c r="B110" s="1"/>
      <c r="C110" s="1">
        <v>106200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</row>
    <row r="111" spans="1:116" x14ac:dyDescent="0.3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</row>
    <row r="112" spans="1:116" x14ac:dyDescent="0.3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</row>
    <row r="113" spans="1:116" x14ac:dyDescent="0.35">
      <c r="A113" s="4"/>
      <c r="B113" s="10" t="s">
        <v>109</v>
      </c>
      <c r="C113" s="13" t="s">
        <v>110</v>
      </c>
      <c r="D113" s="13"/>
      <c r="E113" s="13"/>
      <c r="F113" s="13"/>
      <c r="G113" s="13"/>
      <c r="H113" s="13"/>
      <c r="I113" s="13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</row>
    <row r="114" spans="1:116" x14ac:dyDescent="0.35">
      <c r="A114" s="4"/>
      <c r="B114" s="1"/>
      <c r="C114" s="1" cm="1">
        <f t="array" ref="C114:I115">_xlfn._xlws.FILTER(A2:G7,(D2:D7="Laptop")*(E2:E7&gt;1))</f>
        <v>301</v>
      </c>
      <c r="D114" s="1" t="str">
        <v>North</v>
      </c>
      <c r="E114" s="1" t="str">
        <v>Amit</v>
      </c>
      <c r="F114" s="1" t="str">
        <v>Laptop</v>
      </c>
      <c r="G114" s="1">
        <v>2</v>
      </c>
      <c r="H114" s="1">
        <v>45000</v>
      </c>
      <c r="I114" s="1" t="str">
        <v>05-01-2025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</row>
    <row r="115" spans="1:116" x14ac:dyDescent="0.35">
      <c r="A115" s="4"/>
      <c r="B115" s="1"/>
      <c r="C115" s="1">
        <v>306</v>
      </c>
      <c r="D115" s="1" t="str">
        <v>South</v>
      </c>
      <c r="E115" s="1" t="str">
        <v>Riya</v>
      </c>
      <c r="F115" s="1" t="str">
        <v>Laptop</v>
      </c>
      <c r="G115" s="1">
        <v>2</v>
      </c>
      <c r="H115" s="1">
        <v>45000</v>
      </c>
      <c r="I115" s="1" t="str">
        <v>18-01-2025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</row>
    <row r="116" spans="1:116" x14ac:dyDescent="0.3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</row>
    <row r="117" spans="1:116" x14ac:dyDescent="0.3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</row>
    <row r="118" spans="1:116" x14ac:dyDescent="0.35">
      <c r="A118" s="4"/>
      <c r="B118" s="10" t="s">
        <v>111</v>
      </c>
      <c r="C118" s="2" t="s">
        <v>112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</row>
    <row r="119" spans="1:116" x14ac:dyDescent="0.35">
      <c r="A119" s="4"/>
      <c r="B119" s="1"/>
      <c r="C119" s="1">
        <f>COUNTIFS(D2:D7,"=Laptop",B2:B7,"=North")</f>
        <v>1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</row>
    <row r="120" spans="1:116" x14ac:dyDescent="0.3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</row>
    <row r="121" spans="1:116" x14ac:dyDescent="0.3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</row>
    <row r="122" spans="1:116" x14ac:dyDescent="0.35">
      <c r="A122" s="4"/>
      <c r="B122" s="10" t="s">
        <v>113</v>
      </c>
      <c r="C122" s="2" t="s">
        <v>114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</row>
    <row r="123" spans="1:116" x14ac:dyDescent="0.35">
      <c r="A123" s="4"/>
      <c r="B123" s="1"/>
      <c r="C123" s="1">
        <f>ROUND(F2,-3)</f>
        <v>45000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</row>
    <row r="124" spans="1:116" x14ac:dyDescent="0.35">
      <c r="A124" s="4"/>
      <c r="B124" s="1"/>
      <c r="C124" s="1">
        <f>ROUND(F3,-3)</f>
        <v>45000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</row>
    <row r="125" spans="1:116" x14ac:dyDescent="0.35">
      <c r="A125" s="4"/>
      <c r="B125" s="1"/>
      <c r="C125" s="1">
        <f>ROUND(F4,-3)</f>
        <v>15000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</row>
    <row r="126" spans="1:116" x14ac:dyDescent="0.35">
      <c r="A126" s="4"/>
      <c r="B126" s="1"/>
      <c r="C126" s="1">
        <f>ROUND(F5,-3)</f>
        <v>15000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</row>
    <row r="127" spans="1:116" x14ac:dyDescent="0.35">
      <c r="A127" s="4"/>
      <c r="B127" s="1"/>
      <c r="C127" s="1">
        <f>ROUND(F6,-3)</f>
        <v>18000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</row>
    <row r="128" spans="1:116" x14ac:dyDescent="0.35">
      <c r="A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</row>
    <row r="129" spans="1:116" x14ac:dyDescent="0.35">
      <c r="A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</row>
    <row r="130" spans="1:116" x14ac:dyDescent="0.35">
      <c r="A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</row>
    <row r="131" spans="1:116" x14ac:dyDescent="0.35">
      <c r="A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</row>
    <row r="132" spans="1:116" x14ac:dyDescent="0.35">
      <c r="A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</row>
    <row r="133" spans="1:116" x14ac:dyDescent="0.35">
      <c r="A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</row>
    <row r="134" spans="1:116" x14ac:dyDescent="0.35">
      <c r="A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</row>
    <row r="135" spans="1:116" x14ac:dyDescent="0.35">
      <c r="A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</row>
    <row r="136" spans="1:116" x14ac:dyDescent="0.35">
      <c r="A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</row>
    <row r="137" spans="1:116" x14ac:dyDescent="0.35">
      <c r="A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</row>
    <row r="138" spans="1:116" x14ac:dyDescent="0.35">
      <c r="A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</row>
    <row r="139" spans="1:116" x14ac:dyDescent="0.35">
      <c r="A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</row>
    <row r="140" spans="1:116" x14ac:dyDescent="0.35">
      <c r="A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</row>
    <row r="141" spans="1:116" x14ac:dyDescent="0.35">
      <c r="A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</row>
    <row r="142" spans="1:116" x14ac:dyDescent="0.35">
      <c r="A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</row>
    <row r="143" spans="1:116" x14ac:dyDescent="0.35">
      <c r="A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</row>
    <row r="144" spans="1:116" x14ac:dyDescent="0.35">
      <c r="A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</row>
    <row r="145" spans="1:116" x14ac:dyDescent="0.35">
      <c r="A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</row>
    <row r="146" spans="1:116" x14ac:dyDescent="0.35">
      <c r="A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</row>
    <row r="147" spans="1:116" x14ac:dyDescent="0.35">
      <c r="A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</row>
    <row r="148" spans="1:116" x14ac:dyDescent="0.35">
      <c r="A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</row>
    <row r="149" spans="1:116" x14ac:dyDescent="0.35">
      <c r="A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</row>
    <row r="150" spans="1:116" x14ac:dyDescent="0.35">
      <c r="A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</row>
    <row r="151" spans="1:116" x14ac:dyDescent="0.35">
      <c r="A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</row>
    <row r="152" spans="1:116" x14ac:dyDescent="0.35">
      <c r="A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</row>
    <row r="153" spans="1:116" x14ac:dyDescent="0.35">
      <c r="A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</row>
    <row r="154" spans="1:116" x14ac:dyDescent="0.35">
      <c r="A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</row>
    <row r="155" spans="1:116" x14ac:dyDescent="0.35">
      <c r="A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</row>
    <row r="156" spans="1:116" x14ac:dyDescent="0.3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</row>
    <row r="157" spans="1:116" x14ac:dyDescent="0.3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</row>
    <row r="158" spans="1:116" x14ac:dyDescent="0.3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</row>
    <row r="159" spans="1:116" x14ac:dyDescent="0.3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</row>
    <row r="160" spans="1:116" x14ac:dyDescent="0.3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</row>
    <row r="161" spans="1:116" x14ac:dyDescent="0.3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</row>
    <row r="162" spans="1:116" x14ac:dyDescent="0.3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</row>
    <row r="163" spans="1:116" x14ac:dyDescent="0.3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</row>
    <row r="164" spans="1:116" x14ac:dyDescent="0.3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</row>
    <row r="165" spans="1:116" x14ac:dyDescent="0.3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</row>
    <row r="166" spans="1:116" x14ac:dyDescent="0.3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</row>
    <row r="167" spans="1:116" x14ac:dyDescent="0.3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</row>
    <row r="168" spans="1:116" x14ac:dyDescent="0.3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</row>
    <row r="169" spans="1:116" x14ac:dyDescent="0.3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</row>
    <row r="170" spans="1:116" x14ac:dyDescent="0.3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</row>
    <row r="171" spans="1:116" x14ac:dyDescent="0.3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</row>
    <row r="172" spans="1:116" x14ac:dyDescent="0.3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</row>
    <row r="173" spans="1:116" x14ac:dyDescent="0.3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</row>
    <row r="174" spans="1:116" x14ac:dyDescent="0.3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</row>
    <row r="175" spans="1:116" x14ac:dyDescent="0.3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</row>
    <row r="176" spans="1:116" x14ac:dyDescent="0.3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</row>
    <row r="177" spans="1:116" x14ac:dyDescent="0.3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</row>
    <row r="178" spans="1:116" x14ac:dyDescent="0.3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</row>
    <row r="179" spans="1:116" x14ac:dyDescent="0.3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</row>
    <row r="180" spans="1:116" x14ac:dyDescent="0.3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</row>
    <row r="181" spans="1:116" x14ac:dyDescent="0.3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</row>
    <row r="182" spans="1:116" x14ac:dyDescent="0.3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</row>
    <row r="183" spans="1:116" x14ac:dyDescent="0.3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</row>
    <row r="184" spans="1:116" x14ac:dyDescent="0.3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</row>
    <row r="185" spans="1:116" x14ac:dyDescent="0.3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</row>
    <row r="186" spans="1:116" x14ac:dyDescent="0.3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</row>
    <row r="187" spans="1:116" x14ac:dyDescent="0.3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</row>
    <row r="188" spans="1:116" x14ac:dyDescent="0.3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</row>
    <row r="189" spans="1:116" x14ac:dyDescent="0.3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</row>
    <row r="190" spans="1:116" x14ac:dyDescent="0.3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</row>
    <row r="191" spans="1:116" x14ac:dyDescent="0.3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</row>
    <row r="192" spans="1:116" x14ac:dyDescent="0.3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</row>
    <row r="193" spans="1:116" x14ac:dyDescent="0.3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</row>
    <row r="194" spans="1:116" x14ac:dyDescent="0.3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</row>
    <row r="195" spans="1:116" x14ac:dyDescent="0.3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</row>
    <row r="196" spans="1:116" x14ac:dyDescent="0.3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</row>
    <row r="197" spans="1:116" x14ac:dyDescent="0.3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</row>
    <row r="198" spans="1:116" x14ac:dyDescent="0.3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</row>
    <row r="199" spans="1:116" x14ac:dyDescent="0.3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</row>
    <row r="200" spans="1:116" x14ac:dyDescent="0.3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</row>
    <row r="201" spans="1:116" x14ac:dyDescent="0.3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</row>
    <row r="202" spans="1:116" x14ac:dyDescent="0.3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</row>
    <row r="203" spans="1:116" x14ac:dyDescent="0.3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</row>
    <row r="204" spans="1:116" x14ac:dyDescent="0.3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</row>
    <row r="205" spans="1:116" x14ac:dyDescent="0.3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</row>
    <row r="206" spans="1:116" x14ac:dyDescent="0.3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</row>
    <row r="207" spans="1:116" x14ac:dyDescent="0.3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</row>
    <row r="208" spans="1:116" x14ac:dyDescent="0.3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</row>
    <row r="209" spans="1:116" x14ac:dyDescent="0.3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</row>
    <row r="210" spans="1:116" x14ac:dyDescent="0.3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</row>
    <row r="211" spans="1:116" x14ac:dyDescent="0.3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</row>
    <row r="212" spans="1:116" x14ac:dyDescent="0.3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</row>
    <row r="213" spans="1:116" x14ac:dyDescent="0.3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</row>
    <row r="214" spans="1:116" x14ac:dyDescent="0.3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</row>
    <row r="215" spans="1:116" x14ac:dyDescent="0.3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</row>
    <row r="216" spans="1:116" x14ac:dyDescent="0.3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</row>
    <row r="217" spans="1:116" x14ac:dyDescent="0.3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</row>
    <row r="218" spans="1:116" x14ac:dyDescent="0.3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</row>
    <row r="219" spans="1:116" x14ac:dyDescent="0.3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</row>
    <row r="220" spans="1:116" x14ac:dyDescent="0.3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</row>
    <row r="221" spans="1:116" x14ac:dyDescent="0.3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</row>
    <row r="222" spans="1:116" x14ac:dyDescent="0.3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</row>
    <row r="223" spans="1:116" x14ac:dyDescent="0.3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</row>
    <row r="224" spans="1:116" x14ac:dyDescent="0.3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</row>
    <row r="225" spans="1:116" x14ac:dyDescent="0.3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</row>
    <row r="226" spans="1:116" x14ac:dyDescent="0.3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</row>
    <row r="227" spans="1:116" x14ac:dyDescent="0.3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</row>
    <row r="228" spans="1:116" x14ac:dyDescent="0.3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</row>
    <row r="229" spans="1:116" x14ac:dyDescent="0.3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</row>
    <row r="230" spans="1:116" x14ac:dyDescent="0.3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</row>
    <row r="231" spans="1:116" x14ac:dyDescent="0.3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</row>
    <row r="232" spans="1:116" x14ac:dyDescent="0.3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</row>
    <row r="233" spans="1:116" x14ac:dyDescent="0.3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</row>
    <row r="234" spans="1:116" x14ac:dyDescent="0.3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</row>
    <row r="235" spans="1:116" x14ac:dyDescent="0.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</row>
    <row r="236" spans="1:116" x14ac:dyDescent="0.3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</row>
    <row r="237" spans="1:116" x14ac:dyDescent="0.3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</row>
    <row r="238" spans="1:116" x14ac:dyDescent="0.3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</row>
    <row r="239" spans="1:116" x14ac:dyDescent="0.3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</row>
    <row r="240" spans="1:116" x14ac:dyDescent="0.3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</row>
    <row r="241" spans="1:116" x14ac:dyDescent="0.3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</row>
    <row r="242" spans="1:116" x14ac:dyDescent="0.3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</row>
    <row r="243" spans="1:116" x14ac:dyDescent="0.3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</row>
    <row r="244" spans="1:116" x14ac:dyDescent="0.3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</row>
    <row r="245" spans="1:116" x14ac:dyDescent="0.3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</row>
    <row r="246" spans="1:116" x14ac:dyDescent="0.3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</row>
    <row r="247" spans="1:116" x14ac:dyDescent="0.3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</row>
    <row r="248" spans="1:116" x14ac:dyDescent="0.3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</row>
    <row r="249" spans="1:116" x14ac:dyDescent="0.3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</row>
    <row r="250" spans="1:116" x14ac:dyDescent="0.3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</row>
    <row r="251" spans="1:116" x14ac:dyDescent="0.3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</row>
    <row r="252" spans="1:116" x14ac:dyDescent="0.3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</row>
    <row r="253" spans="1:116" x14ac:dyDescent="0.3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</row>
    <row r="254" spans="1:116" x14ac:dyDescent="0.3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</row>
    <row r="255" spans="1:116" x14ac:dyDescent="0.3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</row>
    <row r="256" spans="1:116" x14ac:dyDescent="0.3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</row>
    <row r="257" spans="1:116" x14ac:dyDescent="0.3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</row>
    <row r="258" spans="1:116" x14ac:dyDescent="0.3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</row>
    <row r="259" spans="1:116" x14ac:dyDescent="0.3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</row>
    <row r="260" spans="1:116" x14ac:dyDescent="0.3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</row>
    <row r="261" spans="1:116" x14ac:dyDescent="0.3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</row>
    <row r="262" spans="1:116" x14ac:dyDescent="0.3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</row>
    <row r="263" spans="1:116" x14ac:dyDescent="0.3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</row>
    <row r="264" spans="1:116" x14ac:dyDescent="0.3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</row>
    <row r="265" spans="1:116" x14ac:dyDescent="0.3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</row>
    <row r="266" spans="1:116" x14ac:dyDescent="0.3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</row>
    <row r="267" spans="1:116" x14ac:dyDescent="0.3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</row>
    <row r="268" spans="1:116" x14ac:dyDescent="0.3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</row>
    <row r="269" spans="1:116" x14ac:dyDescent="0.3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</row>
    <row r="270" spans="1:116" x14ac:dyDescent="0.3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</row>
    <row r="271" spans="1:116" x14ac:dyDescent="0.3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</row>
    <row r="272" spans="1:116" x14ac:dyDescent="0.3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</row>
    <row r="273" spans="1:116" x14ac:dyDescent="0.3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</row>
    <row r="274" spans="1:116" x14ac:dyDescent="0.3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</row>
    <row r="275" spans="1:116" x14ac:dyDescent="0.3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</row>
    <row r="276" spans="1:116" x14ac:dyDescent="0.3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</row>
    <row r="277" spans="1:116" x14ac:dyDescent="0.3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</row>
    <row r="278" spans="1:116" x14ac:dyDescent="0.3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</row>
    <row r="279" spans="1:116" x14ac:dyDescent="0.3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</row>
    <row r="280" spans="1:116" x14ac:dyDescent="0.3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</row>
    <row r="281" spans="1:116" x14ac:dyDescent="0.3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</row>
    <row r="282" spans="1:116" x14ac:dyDescent="0.3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</row>
    <row r="283" spans="1:116" x14ac:dyDescent="0.3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</row>
    <row r="284" spans="1:116" x14ac:dyDescent="0.3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</row>
    <row r="285" spans="1:116" x14ac:dyDescent="0.3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</row>
    <row r="286" spans="1:116" x14ac:dyDescent="0.3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</row>
    <row r="287" spans="1:116" x14ac:dyDescent="0.3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</row>
    <row r="288" spans="1:116" x14ac:dyDescent="0.3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</row>
    <row r="289" spans="1:116" x14ac:dyDescent="0.3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</row>
    <row r="290" spans="1:116" x14ac:dyDescent="0.3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</row>
    <row r="291" spans="1:116" x14ac:dyDescent="0.3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</row>
    <row r="292" spans="1:116" x14ac:dyDescent="0.3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</row>
    <row r="293" spans="1:116" x14ac:dyDescent="0.3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</row>
    <row r="294" spans="1:116" x14ac:dyDescent="0.3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</row>
    <row r="295" spans="1:116" x14ac:dyDescent="0.3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</row>
    <row r="296" spans="1:116" x14ac:dyDescent="0.3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</row>
    <row r="297" spans="1:116" x14ac:dyDescent="0.3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</row>
    <row r="298" spans="1:116" x14ac:dyDescent="0.3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</row>
    <row r="299" spans="1:116" x14ac:dyDescent="0.3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</row>
    <row r="300" spans="1:116" x14ac:dyDescent="0.3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</row>
    <row r="301" spans="1:116" x14ac:dyDescent="0.3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</row>
    <row r="302" spans="1:116" x14ac:dyDescent="0.3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</row>
    <row r="303" spans="1:116" x14ac:dyDescent="0.3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</row>
    <row r="304" spans="1:116" x14ac:dyDescent="0.3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</row>
    <row r="305" spans="1:116" x14ac:dyDescent="0.3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</row>
    <row r="306" spans="1:116" x14ac:dyDescent="0.3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</row>
    <row r="307" spans="1:116" x14ac:dyDescent="0.3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</row>
    <row r="308" spans="1:116" x14ac:dyDescent="0.3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</row>
    <row r="309" spans="1:116" x14ac:dyDescent="0.3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</row>
    <row r="310" spans="1:116" x14ac:dyDescent="0.3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</row>
    <row r="311" spans="1:116" x14ac:dyDescent="0.3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</row>
    <row r="312" spans="1:116" x14ac:dyDescent="0.3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</row>
    <row r="313" spans="1:116" x14ac:dyDescent="0.3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</row>
    <row r="314" spans="1:116" x14ac:dyDescent="0.3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</row>
    <row r="315" spans="1:116" x14ac:dyDescent="0.3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</row>
    <row r="316" spans="1:116" x14ac:dyDescent="0.3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</row>
    <row r="317" spans="1:116" x14ac:dyDescent="0.3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</row>
    <row r="318" spans="1:116" x14ac:dyDescent="0.3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</row>
    <row r="319" spans="1:116" x14ac:dyDescent="0.3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</row>
    <row r="320" spans="1:116" x14ac:dyDescent="0.3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</row>
    <row r="321" spans="1:116" x14ac:dyDescent="0.3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</row>
    <row r="322" spans="1:116" x14ac:dyDescent="0.3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</row>
    <row r="323" spans="1:116" x14ac:dyDescent="0.3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</row>
    <row r="324" spans="1:116" x14ac:dyDescent="0.3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</row>
    <row r="325" spans="1:116" x14ac:dyDescent="0.3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</row>
    <row r="326" spans="1:116" x14ac:dyDescent="0.3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</row>
    <row r="327" spans="1:116" x14ac:dyDescent="0.3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</row>
    <row r="328" spans="1:116" x14ac:dyDescent="0.3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</row>
    <row r="329" spans="1:116" x14ac:dyDescent="0.3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</row>
    <row r="330" spans="1:116" x14ac:dyDescent="0.3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</row>
    <row r="331" spans="1:116" x14ac:dyDescent="0.3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</row>
    <row r="332" spans="1:116" x14ac:dyDescent="0.3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</row>
    <row r="333" spans="1:116" x14ac:dyDescent="0.3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</row>
    <row r="334" spans="1:116" x14ac:dyDescent="0.3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</row>
    <row r="335" spans="1:116" x14ac:dyDescent="0.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</row>
    <row r="336" spans="1:116" x14ac:dyDescent="0.3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</row>
    <row r="337" spans="1:116" x14ac:dyDescent="0.3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</row>
    <row r="338" spans="1:116" x14ac:dyDescent="0.3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</row>
    <row r="339" spans="1:116" x14ac:dyDescent="0.3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</row>
    <row r="340" spans="1:116" x14ac:dyDescent="0.3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</row>
    <row r="341" spans="1:116" x14ac:dyDescent="0.3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</row>
    <row r="342" spans="1:116" x14ac:dyDescent="0.3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</row>
    <row r="343" spans="1:116" x14ac:dyDescent="0.3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</row>
    <row r="344" spans="1:116" x14ac:dyDescent="0.3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</row>
    <row r="345" spans="1:116" x14ac:dyDescent="0.3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</row>
    <row r="346" spans="1:116" x14ac:dyDescent="0.3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</row>
    <row r="347" spans="1:116" x14ac:dyDescent="0.3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</row>
    <row r="348" spans="1:116" x14ac:dyDescent="0.3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</row>
    <row r="349" spans="1:116" x14ac:dyDescent="0.3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</row>
    <row r="350" spans="1:116" x14ac:dyDescent="0.3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</row>
    <row r="351" spans="1:116" x14ac:dyDescent="0.3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</row>
    <row r="352" spans="1:116" x14ac:dyDescent="0.3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</row>
    <row r="353" spans="1:116" x14ac:dyDescent="0.3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</row>
    <row r="354" spans="1:116" x14ac:dyDescent="0.3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</row>
    <row r="355" spans="1:116" x14ac:dyDescent="0.3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</row>
    <row r="356" spans="1:116" x14ac:dyDescent="0.3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</row>
    <row r="357" spans="1:116" x14ac:dyDescent="0.3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</row>
    <row r="358" spans="1:116" x14ac:dyDescent="0.3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</row>
    <row r="359" spans="1:116" x14ac:dyDescent="0.3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</row>
    <row r="360" spans="1:116" x14ac:dyDescent="0.3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</row>
    <row r="361" spans="1:116" x14ac:dyDescent="0.3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</row>
    <row r="362" spans="1:116" x14ac:dyDescent="0.3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</row>
    <row r="363" spans="1:116" x14ac:dyDescent="0.3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</row>
    <row r="364" spans="1:116" x14ac:dyDescent="0.3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</row>
    <row r="365" spans="1:116" x14ac:dyDescent="0.3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</row>
    <row r="366" spans="1:116" x14ac:dyDescent="0.3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</row>
    <row r="367" spans="1:116" x14ac:dyDescent="0.3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</row>
    <row r="368" spans="1:116" x14ac:dyDescent="0.3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</row>
    <row r="369" spans="1:116" x14ac:dyDescent="0.3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</row>
    <row r="370" spans="1:116" x14ac:dyDescent="0.3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</row>
    <row r="371" spans="1:116" x14ac:dyDescent="0.3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</row>
    <row r="372" spans="1:116" x14ac:dyDescent="0.3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</row>
    <row r="373" spans="1:116" x14ac:dyDescent="0.3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</row>
    <row r="374" spans="1:116" x14ac:dyDescent="0.3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</row>
    <row r="375" spans="1:116" x14ac:dyDescent="0.3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</row>
    <row r="376" spans="1:116" x14ac:dyDescent="0.3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</row>
    <row r="377" spans="1:116" x14ac:dyDescent="0.3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</row>
    <row r="378" spans="1:116" x14ac:dyDescent="0.3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</row>
    <row r="379" spans="1:116" x14ac:dyDescent="0.3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</row>
    <row r="380" spans="1:116" x14ac:dyDescent="0.3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</row>
    <row r="381" spans="1:116" x14ac:dyDescent="0.3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</row>
    <row r="382" spans="1:116" x14ac:dyDescent="0.3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</row>
    <row r="383" spans="1:116" x14ac:dyDescent="0.3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</row>
    <row r="384" spans="1:116" x14ac:dyDescent="0.3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</row>
    <row r="385" spans="1:116" x14ac:dyDescent="0.3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</row>
    <row r="386" spans="1:116" x14ac:dyDescent="0.3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</row>
    <row r="387" spans="1:116" x14ac:dyDescent="0.3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</row>
    <row r="388" spans="1:116" x14ac:dyDescent="0.3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</row>
    <row r="389" spans="1:116" x14ac:dyDescent="0.3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</row>
    <row r="390" spans="1:116" x14ac:dyDescent="0.3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</row>
    <row r="391" spans="1:116" x14ac:dyDescent="0.3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</row>
    <row r="392" spans="1:116" x14ac:dyDescent="0.3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</row>
    <row r="393" spans="1:116" x14ac:dyDescent="0.3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</row>
    <row r="394" spans="1:116" x14ac:dyDescent="0.3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</row>
    <row r="395" spans="1:116" x14ac:dyDescent="0.3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</row>
    <row r="396" spans="1:116" x14ac:dyDescent="0.3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</row>
    <row r="397" spans="1:116" x14ac:dyDescent="0.3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</row>
    <row r="398" spans="1:116" x14ac:dyDescent="0.3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</row>
    <row r="399" spans="1:116" x14ac:dyDescent="0.3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</row>
    <row r="400" spans="1:116" x14ac:dyDescent="0.3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</row>
    <row r="401" spans="1:116" x14ac:dyDescent="0.3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</row>
    <row r="402" spans="1:116" x14ac:dyDescent="0.3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</row>
    <row r="403" spans="1:116" x14ac:dyDescent="0.3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</row>
    <row r="404" spans="1:116" x14ac:dyDescent="0.3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</row>
    <row r="405" spans="1:116" x14ac:dyDescent="0.3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</row>
    <row r="406" spans="1:116" x14ac:dyDescent="0.3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</row>
    <row r="407" spans="1:116" x14ac:dyDescent="0.3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</row>
    <row r="408" spans="1:116" x14ac:dyDescent="0.3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</row>
    <row r="409" spans="1:116" x14ac:dyDescent="0.3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</row>
    <row r="410" spans="1:116" x14ac:dyDescent="0.3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</row>
    <row r="411" spans="1:116" x14ac:dyDescent="0.3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</row>
    <row r="412" spans="1:116" x14ac:dyDescent="0.3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</row>
    <row r="413" spans="1:116" x14ac:dyDescent="0.3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</row>
    <row r="414" spans="1:116" x14ac:dyDescent="0.3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</row>
    <row r="415" spans="1:116" x14ac:dyDescent="0.3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</row>
    <row r="416" spans="1:116" x14ac:dyDescent="0.3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</row>
    <row r="417" spans="1:116" x14ac:dyDescent="0.3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</row>
    <row r="418" spans="1:116" x14ac:dyDescent="0.3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</row>
    <row r="419" spans="1:116" x14ac:dyDescent="0.3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</row>
    <row r="420" spans="1:116" x14ac:dyDescent="0.3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</row>
    <row r="421" spans="1:116" x14ac:dyDescent="0.3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</row>
    <row r="422" spans="1:116" x14ac:dyDescent="0.3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</row>
    <row r="423" spans="1:116" x14ac:dyDescent="0.3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</row>
    <row r="424" spans="1:116" x14ac:dyDescent="0.3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</row>
    <row r="425" spans="1:116" x14ac:dyDescent="0.3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</row>
    <row r="426" spans="1:116" x14ac:dyDescent="0.3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</row>
    <row r="427" spans="1:116" x14ac:dyDescent="0.3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</row>
    <row r="428" spans="1:116" x14ac:dyDescent="0.3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</row>
    <row r="429" spans="1:116" x14ac:dyDescent="0.3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</row>
    <row r="430" spans="1:116" x14ac:dyDescent="0.3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</row>
    <row r="431" spans="1:116" x14ac:dyDescent="0.3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</row>
    <row r="432" spans="1:116" x14ac:dyDescent="0.3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</row>
    <row r="433" spans="1:116" x14ac:dyDescent="0.3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</row>
    <row r="434" spans="1:116" x14ac:dyDescent="0.3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</row>
    <row r="435" spans="1:116" x14ac:dyDescent="0.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</row>
    <row r="436" spans="1:116" x14ac:dyDescent="0.3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</row>
    <row r="437" spans="1:116" x14ac:dyDescent="0.3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</row>
    <row r="438" spans="1:116" x14ac:dyDescent="0.3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</row>
    <row r="439" spans="1:116" x14ac:dyDescent="0.3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</row>
    <row r="440" spans="1:116" x14ac:dyDescent="0.3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</row>
    <row r="441" spans="1:116" x14ac:dyDescent="0.3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</row>
    <row r="442" spans="1:116" x14ac:dyDescent="0.3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</row>
    <row r="443" spans="1:116" x14ac:dyDescent="0.3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</row>
    <row r="444" spans="1:116" x14ac:dyDescent="0.3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</row>
    <row r="445" spans="1:116" x14ac:dyDescent="0.3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</row>
    <row r="446" spans="1:116" x14ac:dyDescent="0.3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</row>
    <row r="447" spans="1:116" x14ac:dyDescent="0.3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</row>
    <row r="448" spans="1:116" x14ac:dyDescent="0.3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</row>
    <row r="449" spans="1:116" x14ac:dyDescent="0.3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</row>
    <row r="450" spans="1:116" x14ac:dyDescent="0.3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</row>
    <row r="451" spans="1:116" x14ac:dyDescent="0.3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</row>
    <row r="452" spans="1:116" x14ac:dyDescent="0.3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</row>
    <row r="453" spans="1:116" x14ac:dyDescent="0.3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</row>
    <row r="454" spans="1:116" x14ac:dyDescent="0.3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</row>
    <row r="455" spans="1:116" x14ac:dyDescent="0.3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</row>
    <row r="456" spans="1:116" x14ac:dyDescent="0.3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</row>
    <row r="457" spans="1:116" x14ac:dyDescent="0.3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</row>
    <row r="458" spans="1:116" x14ac:dyDescent="0.3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</row>
    <row r="459" spans="1:116" x14ac:dyDescent="0.3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</row>
    <row r="460" spans="1:116" x14ac:dyDescent="0.3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</row>
    <row r="461" spans="1:116" x14ac:dyDescent="0.3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</row>
    <row r="462" spans="1:116" x14ac:dyDescent="0.3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</row>
    <row r="463" spans="1:116" x14ac:dyDescent="0.3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</row>
    <row r="464" spans="1:116" x14ac:dyDescent="0.3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</row>
    <row r="465" spans="1:116" x14ac:dyDescent="0.3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</row>
    <row r="466" spans="1:116" x14ac:dyDescent="0.3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</row>
    <row r="467" spans="1:116" x14ac:dyDescent="0.3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</row>
    <row r="468" spans="1:116" x14ac:dyDescent="0.3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</row>
    <row r="469" spans="1:116" x14ac:dyDescent="0.3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</row>
    <row r="470" spans="1:116" x14ac:dyDescent="0.3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</row>
    <row r="471" spans="1:116" x14ac:dyDescent="0.3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</row>
    <row r="472" spans="1:116" x14ac:dyDescent="0.3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</row>
    <row r="473" spans="1:116" x14ac:dyDescent="0.3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</row>
    <row r="474" spans="1:116" x14ac:dyDescent="0.3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</row>
    <row r="475" spans="1:116" x14ac:dyDescent="0.3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</row>
    <row r="476" spans="1:116" x14ac:dyDescent="0.3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</row>
    <row r="477" spans="1:116" x14ac:dyDescent="0.3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</row>
    <row r="478" spans="1:116" x14ac:dyDescent="0.3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</row>
    <row r="479" spans="1:116" x14ac:dyDescent="0.3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</row>
    <row r="480" spans="1:116" x14ac:dyDescent="0.3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</row>
    <row r="481" spans="1:116" x14ac:dyDescent="0.3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</row>
    <row r="482" spans="1:116" x14ac:dyDescent="0.3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</row>
    <row r="483" spans="1:116" x14ac:dyDescent="0.3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</row>
    <row r="484" spans="1:116" x14ac:dyDescent="0.3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</row>
    <row r="485" spans="1:116" x14ac:dyDescent="0.3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</row>
    <row r="486" spans="1:116" x14ac:dyDescent="0.3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</row>
    <row r="487" spans="1:116" x14ac:dyDescent="0.3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</row>
    <row r="488" spans="1:116" x14ac:dyDescent="0.3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</row>
    <row r="489" spans="1:116" x14ac:dyDescent="0.3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</row>
    <row r="490" spans="1:116" x14ac:dyDescent="0.3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</row>
    <row r="491" spans="1:116" x14ac:dyDescent="0.3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</row>
    <row r="492" spans="1:116" x14ac:dyDescent="0.3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</row>
    <row r="493" spans="1:116" x14ac:dyDescent="0.3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</row>
    <row r="494" spans="1:116" x14ac:dyDescent="0.3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</row>
    <row r="495" spans="1:116" x14ac:dyDescent="0.3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</row>
    <row r="496" spans="1:116" x14ac:dyDescent="0.3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</row>
    <row r="497" spans="1:116" x14ac:dyDescent="0.3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</row>
    <row r="498" spans="1:116" x14ac:dyDescent="0.3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</row>
    <row r="499" spans="1:116" x14ac:dyDescent="0.3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</row>
    <row r="500" spans="1:116" x14ac:dyDescent="0.3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</row>
    <row r="501" spans="1:116" x14ac:dyDescent="0.3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</row>
    <row r="502" spans="1:116" x14ac:dyDescent="0.3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</row>
    <row r="503" spans="1:116" x14ac:dyDescent="0.3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</row>
    <row r="504" spans="1:116" x14ac:dyDescent="0.3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</row>
    <row r="505" spans="1:116" x14ac:dyDescent="0.3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</row>
    <row r="506" spans="1:116" x14ac:dyDescent="0.3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</row>
    <row r="507" spans="1:116" x14ac:dyDescent="0.3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</row>
    <row r="508" spans="1:116" x14ac:dyDescent="0.3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</row>
    <row r="509" spans="1:116" x14ac:dyDescent="0.3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</row>
    <row r="510" spans="1:116" x14ac:dyDescent="0.3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</row>
    <row r="511" spans="1:116" x14ac:dyDescent="0.3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</row>
    <row r="512" spans="1:116" x14ac:dyDescent="0.3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</row>
    <row r="513" spans="1:116" x14ac:dyDescent="0.3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</row>
    <row r="514" spans="1:116" x14ac:dyDescent="0.3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</row>
    <row r="515" spans="1:116" x14ac:dyDescent="0.3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</row>
    <row r="516" spans="1:116" x14ac:dyDescent="0.3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</row>
    <row r="517" spans="1:116" x14ac:dyDescent="0.3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</row>
    <row r="518" spans="1:116" x14ac:dyDescent="0.3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</row>
    <row r="519" spans="1:116" x14ac:dyDescent="0.3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</row>
    <row r="520" spans="1:116" x14ac:dyDescent="0.3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</row>
    <row r="521" spans="1:116" x14ac:dyDescent="0.3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</row>
    <row r="522" spans="1:116" x14ac:dyDescent="0.3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</row>
    <row r="523" spans="1:116" x14ac:dyDescent="0.3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</row>
    <row r="524" spans="1:116" x14ac:dyDescent="0.3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</row>
    <row r="525" spans="1:116" x14ac:dyDescent="0.3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</row>
    <row r="526" spans="1:116" x14ac:dyDescent="0.3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</row>
    <row r="527" spans="1:116" x14ac:dyDescent="0.3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</row>
  </sheetData>
  <sortState xmlns:xlrd2="http://schemas.microsoft.com/office/spreadsheetml/2017/richdata2" ref="A2:J7">
    <sortCondition descending="1" ref="J2:J7"/>
  </sortState>
  <mergeCells count="1">
    <mergeCell ref="C113:I113"/>
  </mergeCells>
  <conditionalFormatting sqref="C105:C110">
    <cfRule type="cellIs" dxfId="0" priority="1" operator="greaterThan">
      <formula>60000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ASDC5</cp:lastModifiedBy>
  <dcterms:created xsi:type="dcterms:W3CDTF">2025-12-20T09:26:06Z</dcterms:created>
  <dcterms:modified xsi:type="dcterms:W3CDTF">2026-07-18T07:48:27Z</dcterms:modified>
</cp:coreProperties>
</file>