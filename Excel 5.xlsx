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51a42e01d0ec2c/"/>
    </mc:Choice>
  </mc:AlternateContent>
  <xr:revisionPtr revIDLastSave="0" documentId="8_{8FEB81B1-D208-4231-891B-60DD9D4FFC0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6" l="1"/>
  <c r="C54" i="6"/>
  <c r="C55" i="6"/>
  <c r="C56" i="6"/>
  <c r="C57" i="6"/>
  <c r="C58" i="6"/>
  <c r="D47" i="6"/>
  <c r="D48" i="6"/>
  <c r="D49" i="6"/>
  <c r="D46" i="6"/>
  <c r="C152" i="6"/>
  <c r="C153" i="6"/>
  <c r="C154" i="6"/>
  <c r="C155" i="6"/>
  <c r="C151" i="6"/>
  <c r="C147" i="6"/>
  <c r="C142" i="6" a="1"/>
  <c r="C142" i="6" s="1"/>
  <c r="C126" i="6"/>
  <c r="C127" i="6"/>
  <c r="C128" i="6"/>
  <c r="C129" i="6"/>
  <c r="C125" i="6"/>
  <c r="C118" i="6"/>
  <c r="C119" i="6"/>
  <c r="C120" i="6"/>
  <c r="C121" i="6"/>
  <c r="C117" i="6"/>
  <c r="C113" i="6"/>
  <c r="C109" i="6"/>
  <c r="C85" i="6"/>
  <c r="C102" i="6"/>
  <c r="C103" i="6"/>
  <c r="C104" i="6"/>
  <c r="C105" i="6"/>
  <c r="C101" i="6"/>
  <c r="C97" i="6"/>
  <c r="C86" i="6"/>
  <c r="C87" i="6"/>
  <c r="C88" i="6"/>
  <c r="C89" i="6"/>
  <c r="C67" i="6"/>
  <c r="C68" i="6"/>
  <c r="C69" i="6"/>
  <c r="C70" i="6"/>
  <c r="C71" i="6"/>
  <c r="C66" i="6"/>
  <c r="C42" i="6"/>
  <c r="C12" i="6"/>
  <c r="C21" i="6" s="1"/>
  <c r="C13" i="6"/>
  <c r="C22" i="6" s="1"/>
  <c r="C14" i="6"/>
  <c r="C23" i="6" s="1"/>
  <c r="C15" i="6"/>
  <c r="C24" i="6" s="1"/>
  <c r="C16" i="6"/>
  <c r="C25" i="6" s="1"/>
  <c r="C11" i="6"/>
  <c r="C20" i="6" s="1"/>
  <c r="J32" i="5"/>
  <c r="D93" i="6" l="1"/>
  <c r="C93" i="6" s="1"/>
  <c r="C38" i="6" l="1"/>
  <c r="D62" i="6"/>
  <c r="D61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<sst xmlns="http://schemas.openxmlformats.org/spreadsheetml/2006/main" count="189" uniqueCount="119">
  <si>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</si>
  <si>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</si>
  <si>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</si>
  <si>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</si>
  <si>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</si>
  <si>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</si>
  <si>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</si>
  <si>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</si>
  <si>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</si>
  <si>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</si>
  <si>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</si>
  <si>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</si>
  <si>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</si>
  <si>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</si>
  <si>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</si>
  <si>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</si>
  <si>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</si>
  <si>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</si>
  <si>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</si>
  <si>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</si>
  <si>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</si>
  <si>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</si>
  <si>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</si>
  <si>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</si>
  <si>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</si>
  <si>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</si>
  <si>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</si>
  <si>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</si>
  <si>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</si>
  <si>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</si>
  <si>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</si>
  <si>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</si>
  <si>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</si>
  <si>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</si>
  <si>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</si>
  <si>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</si>
  <si>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</si>
  <si>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</si>
  <si>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</si>
  <si>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</si>
  <si>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</si>
  <si>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</si>
  <si>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</si>
  <si>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</si>
  <si>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</si>
  <si>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</si>
  <si>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</si>
  <si>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</si>
  <si>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</si>
  <si>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</si>
  <si>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</si>
  <si>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</si>
  <si>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</si>
  <si>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</si>
  <si>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</si>
  <si>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</si>
  <si>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</si>
  <si>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</si>
  <si>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</si>
  <si>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</si>
  <si>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</si>
  <si>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</si>
  <si>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</si>
  <si>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</si>
  <si>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</si>
  <si>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</si>
  <si>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</si>
  <si>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</si>
  <si>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</si>
  <si>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</si>
  <si>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</si>
  <si>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</si>
  <si>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</si>
  <si>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Q1</t>
  </si>
  <si>
    <t>Q2</t>
  </si>
  <si>
    <t>GST Amount</t>
  </si>
  <si>
    <t>Q3</t>
  </si>
  <si>
    <t>Final Amount</t>
  </si>
  <si>
    <t>Q4</t>
  </si>
  <si>
    <t>Q5</t>
  </si>
  <si>
    <t>Q6</t>
  </si>
  <si>
    <t xml:space="preserve">Region </t>
  </si>
  <si>
    <t>Total Amount</t>
  </si>
  <si>
    <t>Grand Total of Final Amount</t>
  </si>
  <si>
    <t>Count Total Order</t>
  </si>
  <si>
    <t>Sales</t>
  </si>
  <si>
    <t xml:space="preserve">North </t>
  </si>
  <si>
    <t>Q7</t>
  </si>
  <si>
    <t>Q8</t>
  </si>
  <si>
    <t>Maximum</t>
  </si>
  <si>
    <t>Minimum</t>
  </si>
  <si>
    <t>Q9</t>
  </si>
  <si>
    <t>Sale Month</t>
  </si>
  <si>
    <t>Q10</t>
  </si>
  <si>
    <t>Q12</t>
  </si>
  <si>
    <t>Average Marks</t>
  </si>
  <si>
    <t>Q13</t>
  </si>
  <si>
    <t>Topper</t>
  </si>
  <si>
    <t>Q14</t>
  </si>
  <si>
    <t>Above 90% attendance</t>
  </si>
  <si>
    <t>Q15</t>
  </si>
  <si>
    <t>Eligible Students</t>
  </si>
  <si>
    <t>Q20</t>
  </si>
  <si>
    <t>Median Of Statics Marks</t>
  </si>
  <si>
    <t>Q21</t>
  </si>
  <si>
    <t>SD of Excel Marks</t>
  </si>
  <si>
    <t>Q22</t>
  </si>
  <si>
    <t>Concated Name</t>
  </si>
  <si>
    <t>Q23</t>
  </si>
  <si>
    <t>Q24</t>
  </si>
  <si>
    <t>Q25</t>
  </si>
  <si>
    <t>Laptop GT 1</t>
  </si>
  <si>
    <t>Q26</t>
  </si>
  <si>
    <t>Laptop In North region</t>
  </si>
  <si>
    <t>Q27</t>
  </si>
  <si>
    <t>Unit Price</t>
  </si>
  <si>
    <t>ANSWERS</t>
  </si>
  <si>
    <t>First 2 letters of Salesperson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</si>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</sst>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8" workbookViewId="0">
      <selection activeCell="A10" sqref="A10:E1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0994-4D9E-4587-867F-CFC8071D1510}">
  <dimension ref="A1:DL527"/>
  <sheetViews>
    <sheetView tabSelected="1" zoomScale="104" zoomScaleNormal="55" workbookViewId="0">
      <pane ySplit="1" topLeftCell="A65" activePane="bottomLeft" state="frozen"/>
      <selection pane="bottomLeft" activeCell="G72" sqref="G72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25.33203125" bestFit="1" customWidth="1"/>
    <col min="4" max="4" width="13.88671875" bestFit="1" customWidth="1"/>
    <col min="5" max="5" width="8.44140625" bestFit="1" customWidth="1"/>
    <col min="6" max="6" width="9.88671875" bestFit="1" customWidth="1"/>
    <col min="7" max="7" width="10.77734375" bestFit="1" customWidth="1"/>
    <col min="8" max="8" width="6.33203125" bestFit="1" customWidth="1"/>
    <col min="9" max="9" width="10.77734375" bestFit="1" customWidth="1"/>
    <col min="10" max="10" width="9.88671875" bestFit="1" customWidth="1"/>
    <col min="11" max="11" width="6.6640625" bestFit="1" customWidth="1"/>
    <col min="12" max="12" width="14.77734375" customWidth="1"/>
    <col min="13" max="13" width="10.44140625" bestFit="1" customWidth="1"/>
    <col min="14" max="14" width="6" bestFit="1" customWidth="1"/>
    <col min="15" max="15" width="6.44140625" bestFit="1" customWidth="1"/>
    <col min="16" max="16" width="8.77734375" bestFit="1" customWidth="1"/>
    <col min="17" max="17" width="5.33203125" bestFit="1" customWidth="1"/>
    <col min="18" max="18" width="13.33203125" bestFit="1" customWidth="1"/>
    <col min="19" max="19" width="5.21875" bestFit="1" customWidth="1"/>
    <col min="20" max="20" width="8" customWidth="1"/>
    <col min="21" max="21" width="10.77734375" customWidth="1"/>
    <col min="22" max="22" width="7" bestFit="1" customWidth="1"/>
  </cols>
  <sheetData>
    <row r="1" spans="1:116" x14ac:dyDescent="0.3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3"/>
      <c r="I1" s="9" t="s">
        <v>7</v>
      </c>
      <c r="J1" s="9" t="s">
        <v>28</v>
      </c>
      <c r="K1" s="9" t="s">
        <v>29</v>
      </c>
      <c r="L1" s="4"/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</row>
    <row r="2" spans="1:116" x14ac:dyDescent="0.3">
      <c r="A2" s="10">
        <v>301</v>
      </c>
      <c r="B2" s="10" t="s">
        <v>11</v>
      </c>
      <c r="C2" s="10" t="s">
        <v>12</v>
      </c>
      <c r="D2" s="10" t="s">
        <v>13</v>
      </c>
      <c r="E2" s="10">
        <v>2</v>
      </c>
      <c r="F2" s="10">
        <v>45000</v>
      </c>
      <c r="G2" s="10" t="s">
        <v>14</v>
      </c>
      <c r="H2" s="4"/>
      <c r="I2" s="10" t="s">
        <v>13</v>
      </c>
      <c r="J2" s="10" t="s">
        <v>30</v>
      </c>
      <c r="K2" s="10">
        <v>18</v>
      </c>
      <c r="L2" s="4"/>
      <c r="M2" s="10">
        <v>1</v>
      </c>
      <c r="N2" s="10" t="s">
        <v>37</v>
      </c>
      <c r="O2" s="10">
        <v>78</v>
      </c>
      <c r="P2" s="10">
        <v>82</v>
      </c>
      <c r="Q2" s="10">
        <v>85</v>
      </c>
      <c r="R2" s="10">
        <v>92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</row>
    <row r="3" spans="1:116" x14ac:dyDescent="0.3">
      <c r="A3" s="10">
        <v>302</v>
      </c>
      <c r="B3" s="10" t="s">
        <v>15</v>
      </c>
      <c r="C3" s="10" t="s">
        <v>16</v>
      </c>
      <c r="D3" s="10" t="s">
        <v>17</v>
      </c>
      <c r="E3" s="10">
        <v>5</v>
      </c>
      <c r="F3" s="10">
        <v>15000</v>
      </c>
      <c r="G3" s="10" t="s">
        <v>18</v>
      </c>
      <c r="H3" s="4"/>
      <c r="I3" s="10" t="s">
        <v>17</v>
      </c>
      <c r="J3" s="10" t="s">
        <v>30</v>
      </c>
      <c r="K3" s="10">
        <v>12</v>
      </c>
      <c r="L3" s="4"/>
      <c r="M3" s="10">
        <v>2</v>
      </c>
      <c r="N3" s="10" t="s">
        <v>38</v>
      </c>
      <c r="O3" s="10">
        <v>88</v>
      </c>
      <c r="P3" s="10">
        <v>91</v>
      </c>
      <c r="Q3" s="10">
        <v>90</v>
      </c>
      <c r="R3" s="10">
        <v>96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</row>
    <row r="4" spans="1:116" x14ac:dyDescent="0.3">
      <c r="A4" s="10">
        <v>303</v>
      </c>
      <c r="B4" s="10" t="s">
        <v>19</v>
      </c>
      <c r="C4" s="10" t="s">
        <v>20</v>
      </c>
      <c r="D4" s="10" t="s">
        <v>21</v>
      </c>
      <c r="E4" s="10">
        <v>3</v>
      </c>
      <c r="F4" s="10">
        <v>18000</v>
      </c>
      <c r="G4" s="10" t="s">
        <v>22</v>
      </c>
      <c r="H4" s="4"/>
      <c r="I4" s="10" t="s">
        <v>21</v>
      </c>
      <c r="J4" s="10" t="s">
        <v>30</v>
      </c>
      <c r="K4" s="10">
        <v>12</v>
      </c>
      <c r="L4" s="4"/>
      <c r="M4" s="10">
        <v>3</v>
      </c>
      <c r="N4" s="10" t="s">
        <v>39</v>
      </c>
      <c r="O4" s="10">
        <v>65</v>
      </c>
      <c r="P4" s="10">
        <v>70</v>
      </c>
      <c r="Q4" s="10">
        <v>72</v>
      </c>
      <c r="R4" s="10">
        <v>85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</row>
    <row r="5" spans="1:116" x14ac:dyDescent="0.3">
      <c r="A5" s="10">
        <v>304</v>
      </c>
      <c r="B5" s="10" t="s">
        <v>23</v>
      </c>
      <c r="C5" s="10" t="s">
        <v>24</v>
      </c>
      <c r="D5" s="10" t="s">
        <v>13</v>
      </c>
      <c r="E5" s="10">
        <v>1</v>
      </c>
      <c r="F5" s="10">
        <v>45000</v>
      </c>
      <c r="G5" s="10" t="s">
        <v>25</v>
      </c>
      <c r="H5" s="4"/>
      <c r="I5" s="4"/>
      <c r="J5" s="4"/>
      <c r="K5" s="4"/>
      <c r="L5" s="4"/>
      <c r="M5" s="10">
        <v>4</v>
      </c>
      <c r="N5" s="10" t="s">
        <v>40</v>
      </c>
      <c r="O5" s="10">
        <v>92</v>
      </c>
      <c r="P5" s="10">
        <v>89</v>
      </c>
      <c r="Q5" s="10">
        <v>94</v>
      </c>
      <c r="R5" s="10">
        <v>98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</row>
    <row r="6" spans="1:116" x14ac:dyDescent="0.3">
      <c r="A6" s="10">
        <v>305</v>
      </c>
      <c r="B6" s="10" t="s">
        <v>11</v>
      </c>
      <c r="C6" s="10" t="s">
        <v>12</v>
      </c>
      <c r="D6" s="10" t="s">
        <v>17</v>
      </c>
      <c r="E6" s="10">
        <v>4</v>
      </c>
      <c r="F6" s="10">
        <v>15000</v>
      </c>
      <c r="G6" s="10" t="s">
        <v>26</v>
      </c>
      <c r="H6" s="4"/>
      <c r="I6" s="4"/>
      <c r="J6" s="4"/>
      <c r="K6" s="4"/>
      <c r="L6" s="4"/>
      <c r="M6" s="10">
        <v>5</v>
      </c>
      <c r="N6" s="10" t="s">
        <v>41</v>
      </c>
      <c r="O6" s="10">
        <v>55</v>
      </c>
      <c r="P6" s="10">
        <v>60</v>
      </c>
      <c r="Q6" s="10">
        <v>58</v>
      </c>
      <c r="R6" s="10">
        <v>80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</row>
    <row r="7" spans="1:116" x14ac:dyDescent="0.3">
      <c r="A7" s="10">
        <v>306</v>
      </c>
      <c r="B7" s="10" t="s">
        <v>15</v>
      </c>
      <c r="C7" s="10" t="s">
        <v>16</v>
      </c>
      <c r="D7" s="10" t="s">
        <v>13</v>
      </c>
      <c r="E7" s="10">
        <v>2</v>
      </c>
      <c r="F7" s="10">
        <v>45000</v>
      </c>
      <c r="G7" s="10" t="s">
        <v>27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</row>
    <row r="8" spans="1:1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</row>
    <row r="9" spans="1:1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</row>
    <row r="10" spans="1:116" x14ac:dyDescent="0.3">
      <c r="A10" s="5" t="s">
        <v>116</v>
      </c>
      <c r="B10" s="11" t="s">
        <v>73</v>
      </c>
      <c r="C10" s="2" t="s">
        <v>82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</row>
    <row r="11" spans="1:116" x14ac:dyDescent="0.3">
      <c r="A11" s="4"/>
      <c r="B11" s="1"/>
      <c r="C11" s="1">
        <f t="shared" ref="C11:C16" si="0">F2*E2</f>
        <v>90000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</row>
    <row r="12" spans="1:116" x14ac:dyDescent="0.3">
      <c r="A12" s="4"/>
      <c r="B12" s="1"/>
      <c r="C12" s="1">
        <f t="shared" si="0"/>
        <v>75000</v>
      </c>
      <c r="D12" s="4"/>
      <c r="E12" s="4"/>
      <c r="F12" s="4"/>
      <c r="G12" s="4"/>
      <c r="H12" s="4"/>
      <c r="I12" s="4"/>
      <c r="J12" s="4"/>
      <c r="K12" s="4"/>
      <c r="L12" s="4"/>
      <c r="M12" s="3"/>
      <c r="N12" s="4"/>
      <c r="O12" s="4"/>
      <c r="P12" s="4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</row>
    <row r="13" spans="1:116" x14ac:dyDescent="0.3">
      <c r="A13" s="4"/>
      <c r="B13" s="1"/>
      <c r="C13" s="1">
        <f t="shared" si="0"/>
        <v>54000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  <row r="14" spans="1:116" x14ac:dyDescent="0.3">
      <c r="A14" s="4"/>
      <c r="B14" s="1"/>
      <c r="C14" s="1">
        <f t="shared" si="0"/>
        <v>45000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</row>
    <row r="15" spans="1:116" x14ac:dyDescent="0.3">
      <c r="A15" s="4"/>
      <c r="B15" s="1"/>
      <c r="C15" s="1">
        <f t="shared" si="0"/>
        <v>60000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</row>
    <row r="16" spans="1:116" x14ac:dyDescent="0.3">
      <c r="A16" s="4"/>
      <c r="B16" s="1"/>
      <c r="C16" s="1">
        <f t="shared" si="0"/>
        <v>90000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</row>
    <row r="17" spans="1:1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</row>
    <row r="18" spans="1:1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</row>
    <row r="19" spans="1:116" x14ac:dyDescent="0.3">
      <c r="A19" s="4"/>
      <c r="B19" s="11" t="s">
        <v>74</v>
      </c>
      <c r="C19" s="2" t="s">
        <v>75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</row>
    <row r="20" spans="1:116" x14ac:dyDescent="0.3">
      <c r="A20" s="4"/>
      <c r="B20" s="1"/>
      <c r="C20" s="1">
        <f t="shared" ref="C20:C25" si="1">C11*VLOOKUP(D2,$I$1:$K$4,3,0)%</f>
        <v>16200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</row>
    <row r="21" spans="1:116" x14ac:dyDescent="0.3">
      <c r="A21" s="4"/>
      <c r="B21" s="1"/>
      <c r="C21" s="1">
        <f t="shared" si="1"/>
        <v>9000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</row>
    <row r="22" spans="1:116" x14ac:dyDescent="0.3">
      <c r="A22" s="4"/>
      <c r="B22" s="1"/>
      <c r="C22" s="1">
        <f t="shared" si="1"/>
        <v>6480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</row>
    <row r="23" spans="1:116" x14ac:dyDescent="0.3">
      <c r="A23" s="4"/>
      <c r="B23" s="1"/>
      <c r="C23" s="1">
        <f t="shared" si="1"/>
        <v>8100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</row>
    <row r="24" spans="1:116" x14ac:dyDescent="0.3">
      <c r="A24" s="4"/>
      <c r="B24" s="1"/>
      <c r="C24" s="1">
        <f t="shared" si="1"/>
        <v>7200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</row>
    <row r="25" spans="1:116" x14ac:dyDescent="0.3">
      <c r="A25" s="4"/>
      <c r="B25" s="1"/>
      <c r="C25" s="1">
        <f t="shared" si="1"/>
        <v>16200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</row>
    <row r="26" spans="1:11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</row>
    <row r="27" spans="1:1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</row>
    <row r="28" spans="1:116" x14ac:dyDescent="0.3">
      <c r="A28" s="4"/>
      <c r="B28" s="11" t="s">
        <v>76</v>
      </c>
      <c r="C28" s="2" t="s">
        <v>77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</row>
    <row r="29" spans="1:116" x14ac:dyDescent="0.3">
      <c r="A29" s="4"/>
      <c r="B29" s="1"/>
      <c r="C29" s="1">
        <v>106200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</row>
    <row r="30" spans="1:116" x14ac:dyDescent="0.3">
      <c r="A30" s="4"/>
      <c r="B30" s="1"/>
      <c r="C30" s="1">
        <v>84000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</row>
    <row r="31" spans="1:116" x14ac:dyDescent="0.3">
      <c r="A31" s="4"/>
      <c r="B31" s="1"/>
      <c r="C31" s="1">
        <v>60480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</row>
    <row r="32" spans="1:116" x14ac:dyDescent="0.3">
      <c r="A32" s="4"/>
      <c r="B32" s="1"/>
      <c r="C32" s="1">
        <v>53100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</row>
    <row r="33" spans="1:116" x14ac:dyDescent="0.3">
      <c r="A33" s="4"/>
      <c r="B33" s="1"/>
      <c r="C33" s="1">
        <v>67200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</row>
    <row r="34" spans="1:116" x14ac:dyDescent="0.3">
      <c r="A34" s="4"/>
      <c r="B34" s="1"/>
      <c r="C34" s="1">
        <v>106200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</row>
    <row r="35" spans="1:11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</row>
    <row r="36" spans="1:11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</row>
    <row r="37" spans="1:116" x14ac:dyDescent="0.3">
      <c r="A37" s="4"/>
      <c r="B37" s="11" t="s">
        <v>78</v>
      </c>
      <c r="C37" s="2" t="s">
        <v>83</v>
      </c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</row>
    <row r="38" spans="1:116" x14ac:dyDescent="0.3">
      <c r="A38" s="4"/>
      <c r="B38" s="1"/>
      <c r="C38" s="1">
        <f>SUM(C29:C34)</f>
        <v>477180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</row>
    <row r="39" spans="1:11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</row>
    <row r="40" spans="1:11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</row>
    <row r="41" spans="1:116" x14ac:dyDescent="0.3">
      <c r="A41" s="4"/>
      <c r="B41" s="11" t="s">
        <v>79</v>
      </c>
      <c r="C41" s="2" t="s">
        <v>84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</row>
    <row r="42" spans="1:116" x14ac:dyDescent="0.3">
      <c r="A42" s="4"/>
      <c r="B42" s="1"/>
      <c r="C42" s="1">
        <f>COUNT(E2:E7)</f>
        <v>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</row>
    <row r="43" spans="1:11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</row>
    <row r="44" spans="1:11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</row>
    <row r="45" spans="1:116" x14ac:dyDescent="0.3">
      <c r="A45" s="4"/>
      <c r="B45" s="11" t="s">
        <v>80</v>
      </c>
      <c r="C45" s="2" t="s">
        <v>81</v>
      </c>
      <c r="D45" s="2" t="s">
        <v>85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</row>
    <row r="46" spans="1:116" x14ac:dyDescent="0.3">
      <c r="A46" s="4"/>
      <c r="B46" s="1"/>
      <c r="C46" s="1" t="s">
        <v>86</v>
      </c>
      <c r="D46" s="1">
        <f>SUMIF(B2:B7,B2,C11:C16)</f>
        <v>150000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</row>
    <row r="47" spans="1:116" x14ac:dyDescent="0.3">
      <c r="A47" s="4"/>
      <c r="B47" s="1"/>
      <c r="C47" s="1" t="s">
        <v>15</v>
      </c>
      <c r="D47" s="1">
        <f ca="1">SUMIF(B3:B8,B3,B14:B18)</f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</row>
    <row r="48" spans="1:116" x14ac:dyDescent="0.3">
      <c r="A48" s="4"/>
      <c r="B48" s="1"/>
      <c r="C48" s="1" t="s">
        <v>19</v>
      </c>
      <c r="D48" s="1">
        <f ca="1">SUMIF(B4:B9,B4,B15:B18)</f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</row>
    <row r="49" spans="1:116" x14ac:dyDescent="0.3">
      <c r="A49" s="4"/>
      <c r="B49" s="1"/>
      <c r="C49" s="1" t="s">
        <v>23</v>
      </c>
      <c r="D49" s="1">
        <f ca="1">SUMIF(B5:B9,B5,B16:B18)</f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</row>
    <row r="50" spans="1:11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</row>
    <row r="51" spans="1:11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</row>
    <row r="52" spans="1:116" x14ac:dyDescent="0.3">
      <c r="A52" s="4"/>
      <c r="B52" s="11" t="s">
        <v>87</v>
      </c>
      <c r="C52" s="2" t="s">
        <v>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16" x14ac:dyDescent="0.3">
      <c r="A53" s="4"/>
      <c r="B53" s="1"/>
      <c r="C53" s="1" t="str">
        <f t="shared" ref="C53:C58" si="2">IF(E2&gt;3,"High","Low")</f>
        <v>Low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16" x14ac:dyDescent="0.3">
      <c r="A54" s="4"/>
      <c r="B54" s="1"/>
      <c r="C54" s="1" t="str">
        <f t="shared" si="2"/>
        <v>High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16" x14ac:dyDescent="0.3">
      <c r="A55" s="4"/>
      <c r="B55" s="1"/>
      <c r="C55" s="1" t="str">
        <f t="shared" si="2"/>
        <v>Low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16" x14ac:dyDescent="0.3">
      <c r="A56" s="4"/>
      <c r="B56" s="1"/>
      <c r="C56" s="1" t="str">
        <f t="shared" si="2"/>
        <v>Low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16" x14ac:dyDescent="0.3">
      <c r="A57" s="4"/>
      <c r="B57" s="1"/>
      <c r="C57" s="1" t="str">
        <f t="shared" si="2"/>
        <v>High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</row>
    <row r="58" spans="1:116" x14ac:dyDescent="0.3">
      <c r="A58" s="4"/>
      <c r="B58" s="1"/>
      <c r="C58" s="1" t="str">
        <f t="shared" si="2"/>
        <v>Low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</row>
    <row r="59" spans="1:11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</row>
    <row r="60" spans="1:11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</row>
    <row r="61" spans="1:116" x14ac:dyDescent="0.3">
      <c r="A61" s="4"/>
      <c r="B61" s="11" t="s">
        <v>88</v>
      </c>
      <c r="C61" s="2" t="s">
        <v>89</v>
      </c>
      <c r="D61" s="1">
        <f>MAX(Answers!C29:C34)</f>
        <v>106200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</row>
    <row r="62" spans="1:116" x14ac:dyDescent="0.3">
      <c r="A62" s="4"/>
      <c r="B62" s="2"/>
      <c r="C62" s="2" t="s">
        <v>90</v>
      </c>
      <c r="D62" s="1">
        <f>MIN(C29:C34)</f>
        <v>53100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</row>
    <row r="63" spans="1:11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</row>
    <row r="64" spans="1:11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</row>
    <row r="65" spans="1:116" x14ac:dyDescent="0.3">
      <c r="A65" s="4"/>
      <c r="B65" s="11" t="s">
        <v>91</v>
      </c>
      <c r="C65" s="2" t="s">
        <v>92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</row>
    <row r="66" spans="1:116" x14ac:dyDescent="0.3">
      <c r="A66" s="4"/>
      <c r="B66" s="1"/>
      <c r="C66" s="1" t="str">
        <f t="shared" ref="C66:C71" si="3">TEXT(G2,"mmmm")</f>
        <v>May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</row>
    <row r="67" spans="1:116" x14ac:dyDescent="0.3">
      <c r="A67" s="4"/>
      <c r="B67" s="1"/>
      <c r="C67" s="1" t="str">
        <f t="shared" si="3"/>
        <v>July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</row>
    <row r="68" spans="1:116" x14ac:dyDescent="0.3">
      <c r="A68" s="4"/>
      <c r="B68" s="1"/>
      <c r="C68" s="1" t="str">
        <f t="shared" si="3"/>
        <v>October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</row>
    <row r="69" spans="1:116" x14ac:dyDescent="0.3">
      <c r="A69" s="4"/>
      <c r="B69" s="1"/>
      <c r="C69" s="1" t="str">
        <f t="shared" si="3"/>
        <v>December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</row>
    <row r="70" spans="1:116" x14ac:dyDescent="0.3">
      <c r="A70" s="4"/>
      <c r="B70" s="1"/>
      <c r="C70" s="1" t="str">
        <f t="shared" si="3"/>
        <v>15-01-2025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</row>
    <row r="71" spans="1:116" x14ac:dyDescent="0.3">
      <c r="A71" s="4"/>
      <c r="B71" s="1"/>
      <c r="C71" s="1" t="str">
        <f t="shared" si="3"/>
        <v>18-01-2025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</row>
    <row r="72" spans="1:11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</row>
    <row r="73" spans="1:11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</row>
    <row r="74" spans="1:116" x14ac:dyDescent="0.3">
      <c r="A74" s="4"/>
      <c r="B74" s="11" t="s">
        <v>93</v>
      </c>
      <c r="C74" s="2" t="s">
        <v>118</v>
      </c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</row>
    <row r="75" spans="1:116" x14ac:dyDescent="0.3">
      <c r="A75" s="4"/>
      <c r="B75" s="1"/>
      <c r="C75" s="6"/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</row>
    <row r="76" spans="1:116" x14ac:dyDescent="0.3">
      <c r="A76" s="4"/>
      <c r="B76" s="1"/>
      <c r="C76" s="6"/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</row>
    <row r="77" spans="1:116" x14ac:dyDescent="0.3">
      <c r="A77" s="4"/>
      <c r="B77" s="1"/>
      <c r="C77" s="6"/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</row>
    <row r="78" spans="1:116" x14ac:dyDescent="0.3">
      <c r="A78" s="4"/>
      <c r="B78" s="1"/>
      <c r="C78" s="6"/>
      <c r="D78" s="1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</row>
    <row r="79" spans="1:116" x14ac:dyDescent="0.3">
      <c r="A79" s="4"/>
      <c r="B79" s="1"/>
      <c r="C79" s="6"/>
      <c r="D79" s="1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</row>
    <row r="80" spans="1:116" x14ac:dyDescent="0.3">
      <c r="A80" s="4"/>
      <c r="B80" s="1"/>
      <c r="C80" s="6"/>
      <c r="D80" s="1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</row>
    <row r="81" spans="1:11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</row>
    <row r="82" spans="1:11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</row>
    <row r="83" spans="1:11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</row>
    <row r="84" spans="1:116" x14ac:dyDescent="0.3">
      <c r="A84" s="4"/>
      <c r="B84" s="11" t="s">
        <v>94</v>
      </c>
      <c r="C84" s="2" t="s">
        <v>95</v>
      </c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</row>
    <row r="85" spans="1:116" x14ac:dyDescent="0.3">
      <c r="A85" s="4"/>
      <c r="B85" s="1"/>
      <c r="C85" s="7">
        <f>AVERAGE(O2:Q2)</f>
        <v>81.666666666666671</v>
      </c>
      <c r="D85" s="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</row>
    <row r="86" spans="1:116" x14ac:dyDescent="0.3">
      <c r="A86" s="4"/>
      <c r="B86" s="1"/>
      <c r="C86" s="7">
        <f>AVERAGE(O3:Q3)</f>
        <v>89.666666666666671</v>
      </c>
      <c r="D86" s="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</row>
    <row r="87" spans="1:116" x14ac:dyDescent="0.3">
      <c r="A87" s="4"/>
      <c r="B87" s="1"/>
      <c r="C87" s="7">
        <f>AVERAGE(O4:Q4)</f>
        <v>69</v>
      </c>
      <c r="D87" s="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</row>
    <row r="88" spans="1:116" x14ac:dyDescent="0.3">
      <c r="A88" s="4"/>
      <c r="B88" s="1"/>
      <c r="C88" s="7">
        <f>AVERAGE(O5:Q5)</f>
        <v>91.666666666666671</v>
      </c>
      <c r="D88" s="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</row>
    <row r="89" spans="1:116" x14ac:dyDescent="0.3">
      <c r="A89" s="4"/>
      <c r="B89" s="1"/>
      <c r="C89" s="7">
        <f>AVERAGE(O6:Q6)</f>
        <v>57.666666666666664</v>
      </c>
      <c r="D89" s="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</row>
    <row r="90" spans="1:11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</row>
    <row r="91" spans="1:11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</row>
    <row r="92" spans="1:116" x14ac:dyDescent="0.3">
      <c r="A92" s="4"/>
      <c r="B92" s="11" t="s">
        <v>96</v>
      </c>
      <c r="C92" s="2" t="s">
        <v>97</v>
      </c>
      <c r="D92" s="2" t="s">
        <v>95</v>
      </c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</row>
    <row r="93" spans="1:116" x14ac:dyDescent="0.3">
      <c r="A93" s="4"/>
      <c r="B93" s="1"/>
      <c r="C93" s="1" t="str">
        <f>_xlfn.XLOOKUP(D93,C85:C89,N2:N6)</f>
        <v>Pooja</v>
      </c>
      <c r="D93" s="7">
        <f>MAX(C85:C89)</f>
        <v>91.666666666666671</v>
      </c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</row>
    <row r="94" spans="1:11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</row>
    <row r="95" spans="1:11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</row>
    <row r="96" spans="1:116" x14ac:dyDescent="0.3">
      <c r="A96" s="4"/>
      <c r="B96" s="11" t="s">
        <v>98</v>
      </c>
      <c r="C96" s="2" t="s">
        <v>99</v>
      </c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</row>
    <row r="97" spans="1:116" x14ac:dyDescent="0.3">
      <c r="A97" s="4"/>
      <c r="B97" s="1"/>
      <c r="C97" s="1">
        <f>COUNTIF(R2:R6,"&gt;90")</f>
        <v>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</row>
    <row r="98" spans="1:11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</row>
    <row r="99" spans="1:11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</row>
    <row r="100" spans="1:116" x14ac:dyDescent="0.3">
      <c r="A100" s="4"/>
      <c r="B100" s="11" t="s">
        <v>100</v>
      </c>
      <c r="C100" s="2" t="s">
        <v>101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</row>
    <row r="101" spans="1:116" x14ac:dyDescent="0.3">
      <c r="A101" s="4"/>
      <c r="B101" s="1"/>
      <c r="C101" s="1" t="str">
        <f>IF(R2&gt;85,"Eligible","Not Eligible")</f>
        <v>Eligible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</row>
    <row r="102" spans="1:116" x14ac:dyDescent="0.3">
      <c r="A102" s="4"/>
      <c r="B102" s="1"/>
      <c r="C102" s="1" t="str">
        <f>IF(R3&gt;85,"Eligible","Not Eligible")</f>
        <v>Eligible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</row>
    <row r="103" spans="1:116" x14ac:dyDescent="0.3">
      <c r="A103" s="4"/>
      <c r="B103" s="1"/>
      <c r="C103" s="1" t="str">
        <f>IF(R4&gt;85,"Eligible","Not Eligible")</f>
        <v>Not Eligible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</row>
    <row r="104" spans="1:116" x14ac:dyDescent="0.3">
      <c r="A104" s="4"/>
      <c r="B104" s="1"/>
      <c r="C104" s="1" t="str">
        <f>IF(R5&gt;85,"Eligible","Not Eligible")</f>
        <v>Eligible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</row>
    <row r="105" spans="1:116" x14ac:dyDescent="0.3">
      <c r="A105" s="4"/>
      <c r="B105" s="1"/>
      <c r="C105" s="1" t="str">
        <f>IF(R6&gt;85,"Eligible","Not Eligible")</f>
        <v>Not Eligible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</row>
    <row r="106" spans="1:11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</row>
    <row r="107" spans="1:11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</row>
    <row r="108" spans="1:116" x14ac:dyDescent="0.3">
      <c r="A108" s="4"/>
      <c r="B108" s="11" t="s">
        <v>102</v>
      </c>
      <c r="C108" s="2" t="s">
        <v>103</v>
      </c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</row>
    <row r="109" spans="1:116" x14ac:dyDescent="0.3">
      <c r="A109" s="4"/>
      <c r="B109" s="1"/>
      <c r="C109" s="1">
        <f>MEDIAN(P2:P6)</f>
        <v>82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1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1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16" x14ac:dyDescent="0.3">
      <c r="A112" s="4"/>
      <c r="B112" s="11" t="s">
        <v>104</v>
      </c>
      <c r="C112" s="2" t="s">
        <v>105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x14ac:dyDescent="0.3">
      <c r="A113" s="4"/>
      <c r="B113" s="1"/>
      <c r="C113" s="7">
        <f>_xlfn.STDEV.P(Q2:Q6)</f>
        <v>13.181805642627264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x14ac:dyDescent="0.3">
      <c r="A116" s="4"/>
      <c r="B116" s="11" t="s">
        <v>106</v>
      </c>
      <c r="C116" s="2" t="s">
        <v>107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x14ac:dyDescent="0.3">
      <c r="A117" s="4"/>
      <c r="B117" s="1"/>
      <c r="C117" s="1" t="str">
        <f>_xlfn.CONCAT(M2,"-",Answers!N2)</f>
        <v>1-Rahul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x14ac:dyDescent="0.3">
      <c r="A118" s="4"/>
      <c r="B118" s="1"/>
      <c r="C118" s="1" t="str">
        <f>_xlfn.CONCAT(M3,"-",Answers!N3)</f>
        <v>2-Sneha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x14ac:dyDescent="0.3">
      <c r="A119" s="4"/>
      <c r="B119" s="1"/>
      <c r="C119" s="1" t="str">
        <f>_xlfn.CONCAT(M4,"-",Answers!N4)</f>
        <v>3-Arjun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x14ac:dyDescent="0.3">
      <c r="A120" s="4"/>
      <c r="B120" s="1"/>
      <c r="C120" s="1" t="str">
        <f>_xlfn.CONCAT(M5,"-",Answers!N5)</f>
        <v>4-Pooja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x14ac:dyDescent="0.3">
      <c r="A121" s="4"/>
      <c r="B121" s="1"/>
      <c r="C121" s="1" t="str">
        <f>_xlfn.CONCAT(M6,"-",Answers!N6)</f>
        <v>5-Vikas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x14ac:dyDescent="0.3">
      <c r="A124" s="4"/>
      <c r="B124" s="11" t="s">
        <v>108</v>
      </c>
      <c r="C124" s="2" t="s">
        <v>117</v>
      </c>
      <c r="D124" s="3"/>
      <c r="E124" s="3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x14ac:dyDescent="0.3">
      <c r="A125" s="4"/>
      <c r="B125" s="1"/>
      <c r="C125" s="1" t="str">
        <f>LEFT(C2,2)</f>
        <v>Am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x14ac:dyDescent="0.3">
      <c r="A126" s="4"/>
      <c r="B126" s="1"/>
      <c r="C126" s="1" t="str">
        <f>LEFT(C3,2)</f>
        <v>Ri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x14ac:dyDescent="0.3">
      <c r="A127" s="4"/>
      <c r="B127" s="1"/>
      <c r="C127" s="1" t="str">
        <f>LEFT(C4,2)</f>
        <v>Ku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x14ac:dyDescent="0.3">
      <c r="A128" s="4"/>
      <c r="B128" s="1"/>
      <c r="C128" s="1" t="str">
        <f>LEFT(C5,2)</f>
        <v>Ne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x14ac:dyDescent="0.3">
      <c r="A129" s="4"/>
      <c r="B129" s="1"/>
      <c r="C129" s="1" t="str">
        <f>LEFT(C6,2)</f>
        <v>Am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x14ac:dyDescent="0.3">
      <c r="A132" s="4"/>
      <c r="B132" s="11" t="s">
        <v>109</v>
      </c>
      <c r="C132" s="2" t="s">
        <v>77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 x14ac:dyDescent="0.3">
      <c r="A133" s="4"/>
      <c r="B133" s="1"/>
      <c r="C133" s="1">
        <v>106200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</row>
    <row r="134" spans="1:116" x14ac:dyDescent="0.3">
      <c r="A134" s="4"/>
      <c r="B134" s="1"/>
      <c r="C134" s="1">
        <v>84000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x14ac:dyDescent="0.3">
      <c r="A135" s="4"/>
      <c r="B135" s="1"/>
      <c r="C135" s="1">
        <v>60480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x14ac:dyDescent="0.3">
      <c r="A136" s="4"/>
      <c r="B136" s="1"/>
      <c r="C136" s="1">
        <v>53100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x14ac:dyDescent="0.3">
      <c r="A137" s="4"/>
      <c r="B137" s="1"/>
      <c r="C137" s="1">
        <v>67200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x14ac:dyDescent="0.3">
      <c r="A138" s="4"/>
      <c r="B138" s="1"/>
      <c r="C138" s="1">
        <v>106200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x14ac:dyDescent="0.3">
      <c r="A141" s="4"/>
      <c r="B141" s="11" t="s">
        <v>110</v>
      </c>
      <c r="C141" s="12" t="s">
        <v>111</v>
      </c>
      <c r="D141" s="12"/>
      <c r="E141" s="12"/>
      <c r="F141" s="12"/>
      <c r="G141" s="12"/>
      <c r="H141" s="12"/>
      <c r="I141" s="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x14ac:dyDescent="0.3">
      <c r="A142" s="4"/>
      <c r="B142" s="1"/>
      <c r="C142" s="1" cm="1">
        <f t="array" ref="C142:I143">_xlfn._xlws.FILTER(A2:G7,(D2:D7="Laptop")*(E2:E7&gt;1))</f>
        <v>301</v>
      </c>
      <c r="D142" s="1" t="str">
        <v>North</v>
      </c>
      <c r="E142" s="1" t="str">
        <v>Amit</v>
      </c>
      <c r="F142" s="1" t="str">
        <v>Laptop</v>
      </c>
      <c r="G142" s="1">
        <v>2</v>
      </c>
      <c r="H142" s="1">
        <v>45000</v>
      </c>
      <c r="I142" s="1" t="str">
        <v>05-01-2025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x14ac:dyDescent="0.3">
      <c r="A143" s="4"/>
      <c r="B143" s="1"/>
      <c r="C143" s="1">
        <v>306</v>
      </c>
      <c r="D143" s="1" t="str">
        <v>South</v>
      </c>
      <c r="E143" s="1" t="str">
        <v>Riya</v>
      </c>
      <c r="F143" s="1" t="str">
        <v>Laptop</v>
      </c>
      <c r="G143" s="1">
        <v>2</v>
      </c>
      <c r="H143" s="1">
        <v>45000</v>
      </c>
      <c r="I143" s="1" t="str">
        <v>18-01-2025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x14ac:dyDescent="0.3">
      <c r="A146" s="4"/>
      <c r="B146" s="11" t="s">
        <v>112</v>
      </c>
      <c r="C146" s="2" t="s">
        <v>113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x14ac:dyDescent="0.3">
      <c r="A147" s="4"/>
      <c r="B147" s="1"/>
      <c r="C147" s="1">
        <f>COUNTIFS(D2:D7,"=Laptop",B2:B7,"=North")</f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</row>
    <row r="149" spans="1:1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x14ac:dyDescent="0.3">
      <c r="A150" s="4"/>
      <c r="B150" s="11" t="s">
        <v>114</v>
      </c>
      <c r="C150" s="2" t="s">
        <v>115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x14ac:dyDescent="0.3">
      <c r="A151" s="4"/>
      <c r="B151" s="1"/>
      <c r="C151" s="1">
        <f>ROUND(F2,-3)</f>
        <v>45000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x14ac:dyDescent="0.3">
      <c r="A152" s="4"/>
      <c r="B152" s="1"/>
      <c r="C152" s="1">
        <f>ROUND(F3,-3)</f>
        <v>15000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x14ac:dyDescent="0.3">
      <c r="A153" s="4"/>
      <c r="B153" s="1"/>
      <c r="C153" s="1">
        <f>ROUND(F4,-3)</f>
        <v>18000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x14ac:dyDescent="0.3">
      <c r="A154" s="4"/>
      <c r="B154" s="1"/>
      <c r="C154" s="1">
        <f>ROUND(F5,-3)</f>
        <v>45000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x14ac:dyDescent="0.3">
      <c r="A155" s="4"/>
      <c r="B155" s="1"/>
      <c r="C155" s="1">
        <f>ROUND(F6,-3)</f>
        <v>15000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</row>
    <row r="173" spans="1:1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</row>
    <row r="174" spans="1:1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</row>
    <row r="175" spans="1:1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</row>
    <row r="176" spans="1:1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</row>
    <row r="177" spans="1:1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</row>
    <row r="178" spans="1:1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</row>
    <row r="179" spans="1:1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1:1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</row>
    <row r="181" spans="1:1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</row>
    <row r="182" spans="1:1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</row>
    <row r="183" spans="1:1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</row>
    <row r="184" spans="1:1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</row>
    <row r="185" spans="1:1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</row>
    <row r="186" spans="1:1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</row>
    <row r="187" spans="1:1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</row>
    <row r="188" spans="1:1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</row>
    <row r="189" spans="1:1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</row>
    <row r="190" spans="1:1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</row>
    <row r="191" spans="1:1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</row>
    <row r="192" spans="1:1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</row>
    <row r="193" spans="1:1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</row>
    <row r="194" spans="1:1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</row>
    <row r="195" spans="1:1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</row>
    <row r="196" spans="1:1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</row>
    <row r="197" spans="1:1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</row>
    <row r="198" spans="1:1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</row>
    <row r="199" spans="1:1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</row>
    <row r="200" spans="1:1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</row>
    <row r="201" spans="1:1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</row>
    <row r="202" spans="1:11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</row>
    <row r="203" spans="1:11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</row>
    <row r="204" spans="1:11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</row>
    <row r="205" spans="1:11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</row>
    <row r="206" spans="1:11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</row>
    <row r="207" spans="1:11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</row>
    <row r="208" spans="1:11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</row>
    <row r="209" spans="1:11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</row>
    <row r="210" spans="1:11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</row>
    <row r="211" spans="1:11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</row>
    <row r="212" spans="1:11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</row>
    <row r="213" spans="1:11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</row>
    <row r="214" spans="1:11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</row>
    <row r="215" spans="1:11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</row>
    <row r="216" spans="1:11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</row>
    <row r="217" spans="1:11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</row>
    <row r="218" spans="1:11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</row>
    <row r="219" spans="1:11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</row>
    <row r="220" spans="1:11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</row>
    <row r="221" spans="1:11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</row>
    <row r="222" spans="1:11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</row>
    <row r="223" spans="1:11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</row>
    <row r="224" spans="1:11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</row>
    <row r="225" spans="1:11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</row>
    <row r="226" spans="1:11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</row>
    <row r="227" spans="1:11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</row>
    <row r="228" spans="1:11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</row>
    <row r="229" spans="1:11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</row>
    <row r="230" spans="1:11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</row>
    <row r="231" spans="1:11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</row>
    <row r="232" spans="1:11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</row>
    <row r="233" spans="1:11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</row>
    <row r="234" spans="1:11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</row>
    <row r="235" spans="1:11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</row>
    <row r="236" spans="1:11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</row>
    <row r="237" spans="1:11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</row>
    <row r="238" spans="1:11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</row>
    <row r="239" spans="1:11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</row>
    <row r="240" spans="1:11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</row>
    <row r="241" spans="1:11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</row>
    <row r="242" spans="1:11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</row>
    <row r="243" spans="1:11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</row>
    <row r="244" spans="1:11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</row>
    <row r="245" spans="1:11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</row>
    <row r="246" spans="1:11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</row>
    <row r="247" spans="1:11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</row>
    <row r="248" spans="1:11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</row>
    <row r="249" spans="1:11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</row>
    <row r="250" spans="1:11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</row>
    <row r="251" spans="1:11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</row>
    <row r="252" spans="1:11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</row>
    <row r="253" spans="1:11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</row>
    <row r="254" spans="1:11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</row>
    <row r="255" spans="1:11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</row>
    <row r="256" spans="1:11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</row>
    <row r="257" spans="1:11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</row>
    <row r="258" spans="1:11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</row>
    <row r="259" spans="1:11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</row>
    <row r="260" spans="1:11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</row>
    <row r="261" spans="1:11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</row>
    <row r="262" spans="1:11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</row>
    <row r="263" spans="1:11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</row>
    <row r="264" spans="1:11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</row>
    <row r="265" spans="1:11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</row>
    <row r="266" spans="1:11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</row>
    <row r="267" spans="1:11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</row>
    <row r="268" spans="1:11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</row>
    <row r="269" spans="1:11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</row>
    <row r="270" spans="1:11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</row>
    <row r="271" spans="1:11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</row>
    <row r="272" spans="1:11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</row>
    <row r="273" spans="1:11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</row>
    <row r="274" spans="1:11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</row>
    <row r="275" spans="1:11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</row>
    <row r="276" spans="1:11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</row>
    <row r="277" spans="1:11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</row>
    <row r="278" spans="1:11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</row>
    <row r="279" spans="1:11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</row>
    <row r="280" spans="1:11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</row>
    <row r="281" spans="1:11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</row>
    <row r="282" spans="1:11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</row>
    <row r="283" spans="1:11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</row>
    <row r="284" spans="1:11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</row>
    <row r="285" spans="1:11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</row>
    <row r="286" spans="1:11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</row>
    <row r="287" spans="1:11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</row>
    <row r="288" spans="1:11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</row>
    <row r="289" spans="1:11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</row>
    <row r="290" spans="1:11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</row>
    <row r="291" spans="1:11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</row>
    <row r="292" spans="1:11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</row>
    <row r="293" spans="1:11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</row>
    <row r="294" spans="1:11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</row>
    <row r="295" spans="1:11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</row>
    <row r="296" spans="1:11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</row>
    <row r="297" spans="1:11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</row>
    <row r="298" spans="1:11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</row>
    <row r="299" spans="1:11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</row>
    <row r="300" spans="1:11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</row>
    <row r="301" spans="1:11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</row>
    <row r="302" spans="1:11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</row>
    <row r="303" spans="1:11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</row>
    <row r="304" spans="1:11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</row>
    <row r="305" spans="1:11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</row>
    <row r="306" spans="1:11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</row>
    <row r="307" spans="1:11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</row>
    <row r="308" spans="1:11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</row>
    <row r="309" spans="1:11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</row>
    <row r="310" spans="1:11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</row>
    <row r="311" spans="1:11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</row>
    <row r="312" spans="1:11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</row>
    <row r="313" spans="1:11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</row>
    <row r="314" spans="1:11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</row>
    <row r="315" spans="1:11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</row>
    <row r="316" spans="1:11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</row>
    <row r="317" spans="1:11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</row>
    <row r="318" spans="1:11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</row>
    <row r="319" spans="1:11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</row>
    <row r="320" spans="1:11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</row>
    <row r="321" spans="1:11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</row>
    <row r="322" spans="1:11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</row>
    <row r="323" spans="1:11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</row>
    <row r="324" spans="1:11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</row>
    <row r="325" spans="1:11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</row>
    <row r="326" spans="1:11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</row>
    <row r="327" spans="1:11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</row>
    <row r="328" spans="1:11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</row>
    <row r="329" spans="1:11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</row>
    <row r="330" spans="1:11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</row>
    <row r="331" spans="1:11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</row>
    <row r="332" spans="1:11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</row>
    <row r="333" spans="1:11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</row>
    <row r="334" spans="1:11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</row>
    <row r="335" spans="1:11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</row>
    <row r="336" spans="1:11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</row>
    <row r="337" spans="1:11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</row>
    <row r="338" spans="1:11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</row>
    <row r="339" spans="1:11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</row>
    <row r="340" spans="1:11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</row>
    <row r="341" spans="1:11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</row>
    <row r="342" spans="1:11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</row>
    <row r="343" spans="1:11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</row>
    <row r="344" spans="1:11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</row>
    <row r="345" spans="1:11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</row>
    <row r="346" spans="1:11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</row>
    <row r="347" spans="1:11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</row>
    <row r="348" spans="1:11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</row>
    <row r="349" spans="1:11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</row>
    <row r="350" spans="1:11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</row>
    <row r="351" spans="1:11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</row>
    <row r="352" spans="1:11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</row>
    <row r="353" spans="1:11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</row>
    <row r="354" spans="1:11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</row>
    <row r="355" spans="1:11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</row>
    <row r="356" spans="1:11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</row>
    <row r="357" spans="1:11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</row>
    <row r="358" spans="1:11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</row>
    <row r="359" spans="1:11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</row>
    <row r="360" spans="1:11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</row>
    <row r="361" spans="1:11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</row>
    <row r="362" spans="1:11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</row>
    <row r="363" spans="1:11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</row>
    <row r="364" spans="1:11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</row>
    <row r="365" spans="1:11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</row>
    <row r="366" spans="1:11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</row>
    <row r="367" spans="1:11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</row>
    <row r="368" spans="1:11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</row>
    <row r="369" spans="1:11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</row>
    <row r="370" spans="1:11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</row>
    <row r="371" spans="1:11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</row>
    <row r="372" spans="1:11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</row>
    <row r="373" spans="1:11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</row>
    <row r="374" spans="1:11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</row>
    <row r="375" spans="1:11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</row>
    <row r="376" spans="1:11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</row>
    <row r="377" spans="1:11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</row>
    <row r="378" spans="1:11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</row>
    <row r="379" spans="1:11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</row>
    <row r="380" spans="1:11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</row>
    <row r="381" spans="1:11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</row>
    <row r="382" spans="1:11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</row>
    <row r="383" spans="1:11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</row>
    <row r="384" spans="1:11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</row>
    <row r="385" spans="1:11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</row>
    <row r="386" spans="1:11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</row>
    <row r="387" spans="1:11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</row>
    <row r="388" spans="1:11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</row>
    <row r="389" spans="1:11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</row>
    <row r="390" spans="1:11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</row>
    <row r="391" spans="1:11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</row>
    <row r="392" spans="1:11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</row>
    <row r="393" spans="1:11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</row>
    <row r="394" spans="1:11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</row>
    <row r="395" spans="1:11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</row>
    <row r="396" spans="1:11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</row>
    <row r="397" spans="1:11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</row>
    <row r="398" spans="1:11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</row>
    <row r="399" spans="1:11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</row>
    <row r="400" spans="1:11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</row>
    <row r="401" spans="1:11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</row>
    <row r="402" spans="1:11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</row>
    <row r="403" spans="1:11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</row>
    <row r="404" spans="1:11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</row>
    <row r="405" spans="1:11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</row>
    <row r="406" spans="1:11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</row>
    <row r="407" spans="1:11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</row>
    <row r="408" spans="1:11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</row>
    <row r="409" spans="1:11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</row>
    <row r="410" spans="1:11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</row>
    <row r="411" spans="1:11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</row>
    <row r="412" spans="1:11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</row>
    <row r="413" spans="1:11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</row>
    <row r="414" spans="1:11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</row>
    <row r="415" spans="1:11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</row>
    <row r="416" spans="1:11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</row>
    <row r="417" spans="1:11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</row>
    <row r="418" spans="1:11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</row>
    <row r="419" spans="1:11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</row>
    <row r="420" spans="1:11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</row>
    <row r="421" spans="1:11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</row>
    <row r="422" spans="1:11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</row>
    <row r="423" spans="1:11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</row>
    <row r="424" spans="1:11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</row>
    <row r="425" spans="1:11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</row>
    <row r="426" spans="1:11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</row>
    <row r="427" spans="1:11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</row>
    <row r="428" spans="1:11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</row>
    <row r="429" spans="1:11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</row>
    <row r="430" spans="1:11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</row>
    <row r="431" spans="1:11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</row>
    <row r="432" spans="1:11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</row>
    <row r="433" spans="1:11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</row>
    <row r="434" spans="1:11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</row>
    <row r="435" spans="1:11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</row>
    <row r="436" spans="1:11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</row>
    <row r="437" spans="1:11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</row>
    <row r="438" spans="1:11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</row>
    <row r="439" spans="1:11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</row>
    <row r="440" spans="1:11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</row>
    <row r="441" spans="1:11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</row>
    <row r="442" spans="1:11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</row>
    <row r="443" spans="1:11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</row>
    <row r="444" spans="1:11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</row>
    <row r="445" spans="1:11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</row>
    <row r="446" spans="1:11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</row>
    <row r="447" spans="1:11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</row>
    <row r="448" spans="1:11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</row>
    <row r="449" spans="1:11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</row>
    <row r="450" spans="1:11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</row>
    <row r="451" spans="1:11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</row>
    <row r="452" spans="1:11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</row>
    <row r="453" spans="1:11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</row>
    <row r="454" spans="1:11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</row>
    <row r="455" spans="1:11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</row>
    <row r="456" spans="1:11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</row>
    <row r="457" spans="1:11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</row>
    <row r="458" spans="1:11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</row>
    <row r="459" spans="1:11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</row>
    <row r="460" spans="1:11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</row>
    <row r="461" spans="1:11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</row>
    <row r="462" spans="1:11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</row>
    <row r="463" spans="1:11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</row>
    <row r="464" spans="1:11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</row>
    <row r="465" spans="1:11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</row>
    <row r="466" spans="1:11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</row>
    <row r="467" spans="1:11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</row>
    <row r="468" spans="1:11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</row>
    <row r="469" spans="1:11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</row>
    <row r="470" spans="1:11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</row>
    <row r="471" spans="1:11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</row>
    <row r="472" spans="1:11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</row>
    <row r="473" spans="1:11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</row>
    <row r="474" spans="1:11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</row>
    <row r="475" spans="1:11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</row>
    <row r="476" spans="1:11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</row>
    <row r="477" spans="1:11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</row>
    <row r="478" spans="1:11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</row>
    <row r="479" spans="1:11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</row>
    <row r="480" spans="1:11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</row>
    <row r="481" spans="1:11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</row>
    <row r="482" spans="1:11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</row>
    <row r="483" spans="1:11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</row>
    <row r="484" spans="1:11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</row>
    <row r="485" spans="1:11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</row>
    <row r="486" spans="1:11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</row>
    <row r="487" spans="1:11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</row>
    <row r="488" spans="1:11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</row>
    <row r="489" spans="1:11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</row>
    <row r="490" spans="1:11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</row>
    <row r="491" spans="1:11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</row>
    <row r="492" spans="1:11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</row>
    <row r="493" spans="1:11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</row>
    <row r="494" spans="1:11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</row>
    <row r="495" spans="1:11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</row>
    <row r="496" spans="1:11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</row>
    <row r="497" spans="1:11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</row>
    <row r="498" spans="1:11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</row>
    <row r="499" spans="1:11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</row>
    <row r="500" spans="1:11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</row>
    <row r="501" spans="1:11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</row>
    <row r="502" spans="1:11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</row>
    <row r="503" spans="1:11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</row>
    <row r="504" spans="1:11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</row>
    <row r="505" spans="1:11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</row>
    <row r="506" spans="1:11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</row>
    <row r="507" spans="1:11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</row>
    <row r="508" spans="1:11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</row>
    <row r="509" spans="1:11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</row>
    <row r="510" spans="1:11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</row>
    <row r="511" spans="1:11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</row>
    <row r="512" spans="1:11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</row>
    <row r="513" spans="1:11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</row>
    <row r="514" spans="1:11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</row>
    <row r="515" spans="1:11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</row>
    <row r="516" spans="1:11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</row>
    <row r="517" spans="1:11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</row>
    <row r="518" spans="1:11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</row>
    <row r="519" spans="1:11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</row>
    <row r="520" spans="1:11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</row>
    <row r="521" spans="1:11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</row>
    <row r="522" spans="1:11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</row>
    <row r="523" spans="1:11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</row>
    <row r="524" spans="1:11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</row>
    <row r="525" spans="1:11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</row>
    <row r="526" spans="1:11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</row>
    <row r="527" spans="1:11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</row>
  </sheetData>
  <mergeCells count="1">
    <mergeCell ref="C141:I141"/>
  </mergeCells>
  <conditionalFormatting sqref="C133:C138">
    <cfRule type="cellIs" dxfId="0" priority="1" operator="greaterThan"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DHANI SHAH</cp:lastModifiedBy>
  <dcterms:created xsi:type="dcterms:W3CDTF">2025-12-20T09:26:06Z</dcterms:created>
  <dcterms:modified xsi:type="dcterms:W3CDTF">2026-07-18T05:26:14Z</dcterms:modified>
</cp:coreProperties>
</file>