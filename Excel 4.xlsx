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51a42e01d0ec2c/"/>
    </mc:Choice>
  </mc:AlternateContent>
  <xr:revisionPtr revIDLastSave="0" documentId="8_{B1C57F69-C26C-43C8-846A-2A1138C0CCE3}" xr6:coauthVersionLast="47" xr6:coauthVersionMax="47" xr10:uidLastSave="{00000000-0000-0000-0000-000000000000}"/>
  <bookViews>
    <workbookView xWindow="-108" yWindow="-108" windowWidth="23256" windowHeight="12456" firstSheet="2" activeTab="9" xr2:uid="{1D7EBBA7-3D16-4ED6-9FBF-BC02EF8A754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2" i="10"/>
  <c r="F3" i="10"/>
  <c r="F4" i="10"/>
  <c r="F5" i="10"/>
  <c r="F2" i="10"/>
  <c r="E3" i="10"/>
  <c r="E4" i="10"/>
  <c r="E5" i="10"/>
  <c r="E2" i="10"/>
  <c r="G3" i="9"/>
  <c r="G4" i="9"/>
  <c r="G5" i="9"/>
  <c r="G2" i="9"/>
  <c r="F3" i="9"/>
  <c r="F4" i="9"/>
  <c r="F5" i="9"/>
  <c r="F2" i="9"/>
  <c r="E3" i="9"/>
  <c r="E4" i="9"/>
  <c r="E5" i="9"/>
  <c r="E2" i="9"/>
  <c r="F3" i="8"/>
  <c r="F4" i="8"/>
  <c r="F5" i="8"/>
  <c r="F2" i="8"/>
  <c r="E3" i="8"/>
  <c r="E4" i="8"/>
  <c r="E5" i="8"/>
  <c r="E2" i="8"/>
  <c r="F3" i="7"/>
  <c r="F4" i="7"/>
  <c r="F5" i="7"/>
  <c r="F2" i="7"/>
  <c r="D3" i="7"/>
  <c r="E3" i="7"/>
  <c r="E4" i="7"/>
  <c r="E5" i="7"/>
  <c r="E2" i="7"/>
  <c r="D4" i="7"/>
  <c r="D5" i="7"/>
  <c r="D2" i="7"/>
  <c r="H3" i="6"/>
  <c r="H4" i="6"/>
  <c r="H2" i="6"/>
  <c r="G3" i="6"/>
  <c r="G4" i="6"/>
  <c r="G2" i="6"/>
  <c r="F3" i="6"/>
  <c r="F4" i="6"/>
  <c r="F2" i="6"/>
  <c r="E3" i="6"/>
  <c r="E4" i="6"/>
  <c r="E2" i="6"/>
  <c r="D3" i="6"/>
  <c r="D4" i="6"/>
  <c r="D2" i="6"/>
  <c r="G3" i="5"/>
  <c r="G4" i="5"/>
  <c r="G5" i="5"/>
  <c r="G2" i="5"/>
  <c r="F3" i="5"/>
  <c r="F4" i="5"/>
  <c r="F5" i="5"/>
  <c r="F2" i="5"/>
  <c r="G3" i="4"/>
  <c r="G4" i="4"/>
  <c r="G2" i="4"/>
  <c r="F3" i="4"/>
  <c r="F4" i="4"/>
  <c r="F2" i="4"/>
  <c r="E3" i="4"/>
  <c r="E4" i="4"/>
  <c r="E2" i="4"/>
  <c r="G3" i="3"/>
  <c r="G4" i="3"/>
  <c r="G5" i="3"/>
  <c r="G2" i="3"/>
  <c r="F3" i="3"/>
  <c r="F4" i="3"/>
  <c r="F5" i="3"/>
  <c r="F2" i="3"/>
  <c r="E3" i="3"/>
  <c r="E4" i="3"/>
  <c r="E5" i="3"/>
  <c r="E2" i="3"/>
  <c r="G3" i="2"/>
  <c r="G4" i="2"/>
  <c r="G5" i="2"/>
  <c r="G2" i="2"/>
  <c r="F3" i="2"/>
  <c r="F4" i="2"/>
  <c r="F5" i="2"/>
  <c r="F2" i="2"/>
  <c r="H3" i="1"/>
  <c r="H4" i="1"/>
  <c r="H5" i="1"/>
  <c r="H2" i="1"/>
  <c r="G3" i="1"/>
  <c r="G4" i="1"/>
  <c r="G5" i="1"/>
  <c r="G2" i="1"/>
</calcChain>
</file>

<file path=xl/sharedStrings.xml><?xml version="1.0" encoding="utf-8"?>
<sst xmlns="http://schemas.openxmlformats.org/spreadsheetml/2006/main" count="169" uniqueCount="132">
  <si>
    <t>Order ID</t>
  </si>
  <si>
    <t>Customer</t>
  </si>
  <si>
    <t>Product</t>
  </si>
  <si>
    <t>Qty</t>
  </si>
  <si>
    <t>Unit Price</t>
  </si>
  <si>
    <t>Status</t>
  </si>
  <si>
    <t>O101</t>
  </si>
  <si>
    <t>Amit</t>
  </si>
  <si>
    <t>Laptop</t>
  </si>
  <si>
    <t>Delivered</t>
  </si>
  <si>
    <t>O102</t>
  </si>
  <si>
    <t>Neha</t>
  </si>
  <si>
    <t>Mouse</t>
  </si>
  <si>
    <t>Pending</t>
  </si>
  <si>
    <t>O103</t>
  </si>
  <si>
    <t>Ravi</t>
  </si>
  <si>
    <t>Keyboard</t>
  </si>
  <si>
    <t>O104</t>
  </si>
  <si>
    <t>Priya</t>
  </si>
  <si>
    <t>Monitor</t>
  </si>
  <si>
    <t>Cancelled</t>
  </si>
  <si>
    <t>Total Amount</t>
  </si>
  <si>
    <t>Order Category</t>
  </si>
  <si>
    <t>Patient ID</t>
  </si>
  <si>
    <t>Name</t>
  </si>
  <si>
    <t>Age</t>
  </si>
  <si>
    <t>Gender</t>
  </si>
  <si>
    <t>Blood Group</t>
  </si>
  <si>
    <t>P101</t>
  </si>
  <si>
    <t>Rahul</t>
  </si>
  <si>
    <t>Male</t>
  </si>
  <si>
    <t>A+</t>
  </si>
  <si>
    <t>P102</t>
  </si>
  <si>
    <t>Sneha</t>
  </si>
  <si>
    <t>Female</t>
  </si>
  <si>
    <t>O-</t>
  </si>
  <si>
    <t>P103</t>
  </si>
  <si>
    <t>B+</t>
  </si>
  <si>
    <t>P104</t>
  </si>
  <si>
    <t>Meera</t>
  </si>
  <si>
    <t>AB+</t>
  </si>
  <si>
    <t>Age Category</t>
  </si>
  <si>
    <t>Proper Case</t>
  </si>
  <si>
    <t>Movie</t>
  </si>
  <si>
    <t>Seats</t>
  </si>
  <si>
    <t>Ticket Price</t>
  </si>
  <si>
    <t>Avengers</t>
  </si>
  <si>
    <t>Superman</t>
  </si>
  <si>
    <t>Avatar</t>
  </si>
  <si>
    <t>Jurassic World</t>
  </si>
  <si>
    <t>Total Price</t>
  </si>
  <si>
    <t>Booking Status</t>
  </si>
  <si>
    <t>Booking ID</t>
  </si>
  <si>
    <t>Book ID</t>
  </si>
  <si>
    <t>Book Name</t>
  </si>
  <si>
    <t>Issue Date</t>
  </si>
  <si>
    <t>Return Date</t>
  </si>
  <si>
    <t>B101</t>
  </si>
  <si>
    <t>Python Programming</t>
  </si>
  <si>
    <t>B102</t>
  </si>
  <si>
    <t>Java Basics</t>
  </si>
  <si>
    <t>B103</t>
  </si>
  <si>
    <t>SQL Guide</t>
  </si>
  <si>
    <t>Return Status</t>
  </si>
  <si>
    <t>First Word from Book Name</t>
  </si>
  <si>
    <t>Library Code</t>
  </si>
  <si>
    <t>Table</t>
  </si>
  <si>
    <t>Food Item</t>
  </si>
  <si>
    <t>Price</t>
  </si>
  <si>
    <t>T1</t>
  </si>
  <si>
    <t>Pizza</t>
  </si>
  <si>
    <t>T2</t>
  </si>
  <si>
    <t>Burger</t>
  </si>
  <si>
    <t>T3</t>
  </si>
  <si>
    <t>Pasta</t>
  </si>
  <si>
    <t>T4</t>
  </si>
  <si>
    <t>Total Bill</t>
  </si>
  <si>
    <t>Invoice Number</t>
  </si>
  <si>
    <t>Passenger</t>
  </si>
  <si>
    <t>Passport No</t>
  </si>
  <si>
    <t>Destination</t>
  </si>
  <si>
    <t>Amit Shah</t>
  </si>
  <si>
    <t>M123456</t>
  </si>
  <si>
    <t>Dubai</t>
  </si>
  <si>
    <t>Ravi Patel</t>
  </si>
  <si>
    <t>N654321</t>
  </si>
  <si>
    <t>Singapore</t>
  </si>
  <si>
    <t>Neha Joshi</t>
  </si>
  <si>
    <t>P987654</t>
  </si>
  <si>
    <t>London</t>
  </si>
  <si>
    <t>First Name</t>
  </si>
  <si>
    <t>Last Name</t>
  </si>
  <si>
    <t>Email ID</t>
  </si>
  <si>
    <t>Passport prefix</t>
  </si>
  <si>
    <t>Boarding Code</t>
  </si>
  <si>
    <t>Player</t>
  </si>
  <si>
    <t>Runs</t>
  </si>
  <si>
    <t>Matches</t>
  </si>
  <si>
    <t>Virat</t>
  </si>
  <si>
    <t>Rohit</t>
  </si>
  <si>
    <t>Gill</t>
  </si>
  <si>
    <t>SKY</t>
  </si>
  <si>
    <t>Average runs per match</t>
  </si>
  <si>
    <t>Performance</t>
  </si>
  <si>
    <t>Player Code</t>
  </si>
  <si>
    <t>Member</t>
  </si>
  <si>
    <t>Membership</t>
  </si>
  <si>
    <t>Fee</t>
  </si>
  <si>
    <t>Gold</t>
  </si>
  <si>
    <t>Silver</t>
  </si>
  <si>
    <t>Platinum</t>
  </si>
  <si>
    <t>Membership ID</t>
  </si>
  <si>
    <t>Student</t>
  </si>
  <si>
    <t>Course</t>
  </si>
  <si>
    <t>Payment Status</t>
  </si>
  <si>
    <t>Excel</t>
  </si>
  <si>
    <t>Paid</t>
  </si>
  <si>
    <t>SQL</t>
  </si>
  <si>
    <t>Power BI</t>
  </si>
  <si>
    <t>Python</t>
  </si>
  <si>
    <t>Erollment Status</t>
  </si>
  <si>
    <t>Students Code</t>
  </si>
  <si>
    <t>Course &amp; Student Name</t>
  </si>
  <si>
    <t>Candidate</t>
  </si>
  <si>
    <t>Experience</t>
  </si>
  <si>
    <t>Test Score</t>
  </si>
  <si>
    <t>Interview</t>
  </si>
  <si>
    <t>Yes</t>
  </si>
  <si>
    <t>No</t>
  </si>
  <si>
    <t>Final Result</t>
  </si>
  <si>
    <t>Candidate ID</t>
  </si>
  <si>
    <t>Interview in Uppercase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</si>
</sst>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sz val="10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0" borderId="0" xfId="0" applyFont="1"/>
    <xf numFmtId="16" fontId="2" fillId="2" borderId="1" xfId="0" applyNumberFormat="1" applyFont="1" applyFill="1" applyBorder="1" applyAlignment="1">
      <alignment horizontal="center" vertical="center" wrapText="1"/>
    </xf>
    <xf numFmtId="16" fontId="2" fillId="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0" xfId="0" applyFont="1"/>
    <xf numFmtId="0" fontId="0" fillId="0" borderId="1" xfId="0" applyFont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/>
    </xf>
    <xf numFmtId="0" fontId="0" fillId="0" borderId="0" xfId="0" applyBorder="1"/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5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66"/>
      <color rgb="FFFF5050"/>
      <color rgb="FF996600"/>
      <color rgb="FFFFCC66"/>
      <color rgb="FFCC0066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24B69-4FCD-46F0-97D7-696D5C076A2E}">
  <dimension ref="A1:H5"/>
  <sheetViews>
    <sheetView zoomScaleNormal="100" workbookViewId="0">
      <selection activeCell="H2" sqref="H2"/>
    </sheetView>
  </sheetViews>
  <sheetFormatPr defaultRowHeight="14.4" x14ac:dyDescent="0.3"/>
  <cols>
    <col min="1" max="1" width="9.21875" bestFit="1" customWidth="1"/>
    <col min="2" max="2" width="10.109375" bestFit="1" customWidth="1"/>
    <col min="3" max="3" width="8.77734375" bestFit="1" customWidth="1"/>
    <col min="4" max="4" width="4.33203125" bestFit="1" customWidth="1"/>
    <col min="5" max="5" width="10.33203125" bestFit="1" customWidth="1"/>
    <col min="6" max="6" width="9.21875" bestFit="1" customWidth="1"/>
    <col min="7" max="7" width="14" customWidth="1"/>
    <col min="8" max="8" width="18" customWidth="1"/>
  </cols>
  <sheetData>
    <row r="1" spans="1:8" ht="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21</v>
      </c>
      <c r="H1" s="8" t="s">
        <v>22</v>
      </c>
    </row>
    <row r="2" spans="1:8" ht="15" x14ac:dyDescent="0.3">
      <c r="A2" s="6" t="s">
        <v>6</v>
      </c>
      <c r="B2" s="6" t="s">
        <v>7</v>
      </c>
      <c r="C2" s="6" t="s">
        <v>8</v>
      </c>
      <c r="D2" s="6">
        <v>2</v>
      </c>
      <c r="E2" s="6">
        <v>45000</v>
      </c>
      <c r="F2" s="6" t="s">
        <v>9</v>
      </c>
      <c r="G2" s="7">
        <f>E2*D2</f>
        <v>90000</v>
      </c>
      <c r="H2" s="7" t="str">
        <f>IF(G2&gt;50000,"High Value","Normal")</f>
        <v>High Value</v>
      </c>
    </row>
    <row r="3" spans="1:8" ht="15" x14ac:dyDescent="0.3">
      <c r="A3" s="3" t="s">
        <v>10</v>
      </c>
      <c r="B3" s="3" t="s">
        <v>11</v>
      </c>
      <c r="C3" s="3" t="s">
        <v>12</v>
      </c>
      <c r="D3" s="3">
        <v>5</v>
      </c>
      <c r="E3" s="3">
        <v>700</v>
      </c>
      <c r="F3" s="3" t="s">
        <v>13</v>
      </c>
      <c r="G3" s="1">
        <f t="shared" ref="G3:G5" si="0">E3*D3</f>
        <v>3500</v>
      </c>
      <c r="H3" s="1" t="str">
        <f t="shared" ref="H3:H5" si="1">IF(G3&gt;50000,"High Value","Normal")</f>
        <v>Normal</v>
      </c>
    </row>
    <row r="4" spans="1:8" ht="15.6" customHeight="1" x14ac:dyDescent="0.3">
      <c r="A4" s="3" t="s">
        <v>14</v>
      </c>
      <c r="B4" s="3" t="s">
        <v>15</v>
      </c>
      <c r="C4" s="3" t="s">
        <v>16</v>
      </c>
      <c r="D4" s="3">
        <v>3</v>
      </c>
      <c r="E4" s="3">
        <v>1500</v>
      </c>
      <c r="F4" s="3" t="s">
        <v>9</v>
      </c>
      <c r="G4" s="1">
        <f t="shared" si="0"/>
        <v>4500</v>
      </c>
      <c r="H4" s="1" t="str">
        <f t="shared" si="1"/>
        <v>Normal</v>
      </c>
    </row>
    <row r="5" spans="1:8" ht="15" x14ac:dyDescent="0.3">
      <c r="A5" s="4" t="s">
        <v>17</v>
      </c>
      <c r="B5" s="4" t="s">
        <v>18</v>
      </c>
      <c r="C5" s="4" t="s">
        <v>19</v>
      </c>
      <c r="D5" s="4">
        <v>1</v>
      </c>
      <c r="E5" s="4">
        <v>18000</v>
      </c>
      <c r="F5" s="4" t="s">
        <v>20</v>
      </c>
      <c r="G5" s="5">
        <f t="shared" si="0"/>
        <v>18000</v>
      </c>
      <c r="H5" s="5" t="str">
        <f t="shared" si="1"/>
        <v>Normal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F12F-C29C-468A-AF3A-41F1C306E910}">
  <dimension ref="A1:G5"/>
  <sheetViews>
    <sheetView workbookViewId="0">
      <selection activeCell="L1" sqref="L1"/>
    </sheetView>
  </sheetViews>
  <sheetFormatPr defaultRowHeight="14.4" x14ac:dyDescent="0.3"/>
  <cols>
    <col min="1" max="1" width="10.5546875" bestFit="1" customWidth="1"/>
    <col min="2" max="2" width="6.5546875" bestFit="1" customWidth="1"/>
    <col min="3" max="3" width="4.6640625" bestFit="1" customWidth="1"/>
    <col min="4" max="4" width="7.88671875" bestFit="1" customWidth="1"/>
    <col min="5" max="5" width="13.109375" bestFit="1" customWidth="1"/>
    <col min="6" max="6" width="14" bestFit="1" customWidth="1"/>
    <col min="7" max="7" width="12.44140625" bestFit="1" customWidth="1"/>
  </cols>
  <sheetData>
    <row r="1" spans="1:7" ht="15" x14ac:dyDescent="0.3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41</v>
      </c>
      <c r="G1" s="11" t="s">
        <v>42</v>
      </c>
    </row>
    <row r="2" spans="1:7" ht="15" x14ac:dyDescent="0.3">
      <c r="A2" s="3" t="s">
        <v>28</v>
      </c>
      <c r="B2" s="3" t="s">
        <v>29</v>
      </c>
      <c r="C2" s="3">
        <v>25</v>
      </c>
      <c r="D2" s="3" t="s">
        <v>30</v>
      </c>
      <c r="E2" s="3" t="s">
        <v>31</v>
      </c>
      <c r="F2" s="1" t="str">
        <f>IF(C2&lt;18,"Minor",IF(C2&gt;=60,"Senior Citizen","Adult"))</f>
        <v>Adult</v>
      </c>
      <c r="G2" s="1" t="str">
        <f>PROPER(B2)</f>
        <v>Rahul</v>
      </c>
    </row>
    <row r="3" spans="1:7" ht="15" x14ac:dyDescent="0.3">
      <c r="A3" s="6" t="s">
        <v>32</v>
      </c>
      <c r="B3" s="6" t="s">
        <v>33</v>
      </c>
      <c r="C3" s="6">
        <v>62</v>
      </c>
      <c r="D3" s="6" t="s">
        <v>34</v>
      </c>
      <c r="E3" s="6" t="s">
        <v>35</v>
      </c>
      <c r="F3" s="7" t="str">
        <f t="shared" ref="F3:G5" si="0">IF(C3&lt;18,"Minor",IF(C3&gt;=60,"Senior Citizen","Adult"))</f>
        <v>Senior Citizen</v>
      </c>
      <c r="G3" s="7" t="str">
        <f t="shared" ref="G3:G5" si="1">PROPER(B3)</f>
        <v>Sneha</v>
      </c>
    </row>
    <row r="4" spans="1:7" ht="15" x14ac:dyDescent="0.3">
      <c r="A4" s="3" t="s">
        <v>36</v>
      </c>
      <c r="B4" s="3" t="s">
        <v>15</v>
      </c>
      <c r="C4" s="3">
        <v>70</v>
      </c>
      <c r="D4" s="3" t="s">
        <v>30</v>
      </c>
      <c r="E4" s="3" t="s">
        <v>37</v>
      </c>
      <c r="F4" s="1" t="str">
        <f t="shared" si="0"/>
        <v>Senior Citizen</v>
      </c>
      <c r="G4" s="1" t="str">
        <f t="shared" si="1"/>
        <v>Ravi</v>
      </c>
    </row>
    <row r="5" spans="1:7" ht="15" x14ac:dyDescent="0.3">
      <c r="A5" s="10" t="s">
        <v>38</v>
      </c>
      <c r="B5" s="10" t="s">
        <v>39</v>
      </c>
      <c r="C5" s="10">
        <v>15</v>
      </c>
      <c r="D5" s="10" t="s">
        <v>34</v>
      </c>
      <c r="E5" s="10" t="s">
        <v>40</v>
      </c>
      <c r="F5" s="12" t="str">
        <f t="shared" si="0"/>
        <v>Minor</v>
      </c>
      <c r="G5" s="12" t="str">
        <f t="shared" si="1"/>
        <v>Meera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6081-5F39-45FF-BB06-8945A673A837}">
  <dimension ref="A1:G5"/>
  <sheetViews>
    <sheetView workbookViewId="0">
      <selection sqref="A1:G1"/>
    </sheetView>
  </sheetViews>
  <sheetFormatPr defaultRowHeight="14.4" x14ac:dyDescent="0.3"/>
  <cols>
    <col min="1" max="1" width="10.109375" bestFit="1" customWidth="1"/>
    <col min="2" max="2" width="13.109375" bestFit="1" customWidth="1"/>
    <col min="3" max="3" width="6" bestFit="1" customWidth="1"/>
    <col min="4" max="4" width="11.88671875" bestFit="1" customWidth="1"/>
    <col min="5" max="5" width="5.77734375" bestFit="1" customWidth="1"/>
    <col min="6" max="6" width="14.21875" bestFit="1" customWidth="1"/>
    <col min="7" max="7" width="8.6640625" bestFit="1" customWidth="1"/>
  </cols>
  <sheetData>
    <row r="1" spans="1:7" ht="30" x14ac:dyDescent="0.3">
      <c r="A1" s="26" t="s">
        <v>1</v>
      </c>
      <c r="B1" s="26" t="s">
        <v>43</v>
      </c>
      <c r="C1" s="26" t="s">
        <v>44</v>
      </c>
      <c r="D1" s="26" t="s">
        <v>45</v>
      </c>
      <c r="E1" s="26" t="s">
        <v>50</v>
      </c>
      <c r="F1" s="26" t="s">
        <v>51</v>
      </c>
      <c r="G1" s="26" t="s">
        <v>52</v>
      </c>
    </row>
    <row r="2" spans="1:7" ht="15" x14ac:dyDescent="0.3">
      <c r="A2" s="3" t="s">
        <v>7</v>
      </c>
      <c r="B2" s="3" t="s">
        <v>46</v>
      </c>
      <c r="C2" s="3">
        <v>2</v>
      </c>
      <c r="D2" s="3">
        <v>350</v>
      </c>
      <c r="E2" s="1">
        <f>C2*D2</f>
        <v>700</v>
      </c>
      <c r="F2" s="1" t="str">
        <f>IF(E2&gt;1000,"Discount Eligible","Regular Booking")</f>
        <v>Regular Booking</v>
      </c>
      <c r="G2" s="1" t="str">
        <f>UPPER(LEFT(A2,2)&amp;"-"&amp;C2)</f>
        <v>AM-2</v>
      </c>
    </row>
    <row r="3" spans="1:7" ht="15" x14ac:dyDescent="0.3">
      <c r="A3" s="10" t="s">
        <v>15</v>
      </c>
      <c r="B3" s="10" t="s">
        <v>47</v>
      </c>
      <c r="C3" s="10">
        <v>5</v>
      </c>
      <c r="D3" s="10">
        <v>280</v>
      </c>
      <c r="E3" s="12">
        <f>C3*D3</f>
        <v>1400</v>
      </c>
      <c r="F3" s="12" t="str">
        <f t="shared" ref="F3:F5" si="0">IF(E3&gt;1000,"Discount Eligible","Regular Booking")</f>
        <v>Discount Eligible</v>
      </c>
      <c r="G3" s="12" t="str">
        <f t="shared" ref="G3:G5" si="1">UPPER(LEFT(A3,2)&amp;"-"&amp;C3)</f>
        <v>RA-5</v>
      </c>
    </row>
    <row r="4" spans="1:7" ht="15" x14ac:dyDescent="0.3">
      <c r="A4" s="10" t="s">
        <v>11</v>
      </c>
      <c r="B4" s="10" t="s">
        <v>48</v>
      </c>
      <c r="C4" s="10">
        <v>3</v>
      </c>
      <c r="D4" s="10">
        <v>400</v>
      </c>
      <c r="E4" s="12">
        <f t="shared" ref="E3:E5" si="2">C4*D4</f>
        <v>1200</v>
      </c>
      <c r="F4" s="12" t="str">
        <f t="shared" si="0"/>
        <v>Discount Eligible</v>
      </c>
      <c r="G4" s="12" t="str">
        <f t="shared" si="1"/>
        <v>NE-3</v>
      </c>
    </row>
    <row r="5" spans="1:7" ht="15" x14ac:dyDescent="0.3">
      <c r="A5" s="3" t="s">
        <v>18</v>
      </c>
      <c r="B5" s="3" t="s">
        <v>49</v>
      </c>
      <c r="C5" s="3">
        <v>1</v>
      </c>
      <c r="D5" s="3">
        <v>500</v>
      </c>
      <c r="E5" s="1">
        <f t="shared" si="2"/>
        <v>500</v>
      </c>
      <c r="F5" s="1" t="str">
        <f t="shared" si="0"/>
        <v>Regular Booking</v>
      </c>
      <c r="G5" s="1" t="str">
        <f t="shared" si="1"/>
        <v>PR-1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8A06-F6D7-4A8A-8DBD-8EE12F2C4FA5}">
  <dimension ref="A1:G4"/>
  <sheetViews>
    <sheetView workbookViewId="0">
      <selection activeCell="F4" sqref="F4"/>
    </sheetView>
  </sheetViews>
  <sheetFormatPr defaultRowHeight="14.4" x14ac:dyDescent="0.3"/>
  <cols>
    <col min="1" max="1" width="8.109375" bestFit="1" customWidth="1"/>
    <col min="2" max="2" width="19.44140625" bestFit="1" customWidth="1"/>
    <col min="3" max="3" width="10" bestFit="1" customWidth="1"/>
    <col min="4" max="4" width="11.77734375" bestFit="1" customWidth="1"/>
    <col min="5" max="5" width="15.33203125" bestFit="1" customWidth="1"/>
    <col min="6" max="6" width="26.77734375" bestFit="1" customWidth="1"/>
    <col min="7" max="7" width="12.44140625" bestFit="1" customWidth="1"/>
  </cols>
  <sheetData>
    <row r="1" spans="1:7" ht="15" x14ac:dyDescent="0.3">
      <c r="A1" s="24" t="s">
        <v>53</v>
      </c>
      <c r="B1" s="24" t="s">
        <v>54</v>
      </c>
      <c r="C1" s="24" t="s">
        <v>55</v>
      </c>
      <c r="D1" s="24" t="s">
        <v>56</v>
      </c>
      <c r="E1" s="24" t="s">
        <v>63</v>
      </c>
      <c r="F1" s="25" t="s">
        <v>64</v>
      </c>
      <c r="G1" s="24" t="s">
        <v>65</v>
      </c>
    </row>
    <row r="2" spans="1:7" ht="15" x14ac:dyDescent="0.3">
      <c r="A2" s="3" t="s">
        <v>57</v>
      </c>
      <c r="B2" s="3" t="s">
        <v>58</v>
      </c>
      <c r="C2" s="15">
        <v>46204</v>
      </c>
      <c r="D2" s="15">
        <v>46211</v>
      </c>
      <c r="E2" s="17" t="str">
        <f>IF((D2-C2)&gt;7,"Late Return","Returned On Time")</f>
        <v>Returned On Time</v>
      </c>
      <c r="F2" s="17" t="str">
        <f>LEFT(B2,FIND(" ",B2)-1)</f>
        <v>Python</v>
      </c>
      <c r="G2" s="17" t="str">
        <f>A2&amp;"-"&amp;LEFT(B2,FIND(" ",B2)-1)</f>
        <v>B101-Python</v>
      </c>
    </row>
    <row r="3" spans="1:7" ht="15" x14ac:dyDescent="0.3">
      <c r="A3" s="6" t="s">
        <v>59</v>
      </c>
      <c r="B3" s="6" t="s">
        <v>60</v>
      </c>
      <c r="C3" s="16">
        <v>46205</v>
      </c>
      <c r="D3" s="16">
        <v>46221</v>
      </c>
      <c r="E3" s="18" t="str">
        <f t="shared" ref="E3:E4" si="0">IF((D3-C3)&gt;7,"Late Return","Returned On Time")</f>
        <v>Late Return</v>
      </c>
      <c r="F3" s="18" t="str">
        <f t="shared" ref="F3:F4" si="1">LEFT(B3,FIND(" ",B3)-1)</f>
        <v>Java</v>
      </c>
      <c r="G3" s="18" t="str">
        <f t="shared" ref="G3:G4" si="2">A3&amp;"-"&amp;LEFT(B3,FIND(" ",B3)-1)</f>
        <v>B102-Java</v>
      </c>
    </row>
    <row r="4" spans="1:7" ht="15" x14ac:dyDescent="0.3">
      <c r="A4" s="3" t="s">
        <v>61</v>
      </c>
      <c r="B4" s="3" t="s">
        <v>62</v>
      </c>
      <c r="C4" s="15">
        <v>46208</v>
      </c>
      <c r="D4" s="15">
        <v>46215</v>
      </c>
      <c r="E4" s="17" t="str">
        <f t="shared" si="0"/>
        <v>Returned On Time</v>
      </c>
      <c r="F4" s="17" t="str">
        <f t="shared" si="1"/>
        <v>SQL</v>
      </c>
      <c r="G4" s="17" t="str">
        <f t="shared" si="2"/>
        <v>B103-SQL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95E1-6DF7-4FB8-9FB3-39C90F1A37D9}">
  <dimension ref="A1:G5"/>
  <sheetViews>
    <sheetView workbookViewId="0">
      <selection sqref="A1:G1"/>
    </sheetView>
  </sheetViews>
  <sheetFormatPr defaultRowHeight="14.4" x14ac:dyDescent="0.3"/>
  <cols>
    <col min="1" max="1" width="5.88671875" bestFit="1" customWidth="1"/>
    <col min="2" max="2" width="9.5546875" bestFit="1" customWidth="1"/>
    <col min="3" max="3" width="10.109375" bestFit="1" customWidth="1"/>
    <col min="4" max="4" width="4.21875" bestFit="1" customWidth="1"/>
    <col min="5" max="5" width="5.33203125" bestFit="1" customWidth="1"/>
    <col min="6" max="6" width="9" bestFit="1" customWidth="1"/>
    <col min="7" max="7" width="15.21875" bestFit="1" customWidth="1"/>
  </cols>
  <sheetData>
    <row r="1" spans="1:7" ht="15" x14ac:dyDescent="0.3">
      <c r="A1" s="23" t="s">
        <v>66</v>
      </c>
      <c r="B1" s="23" t="s">
        <v>1</v>
      </c>
      <c r="C1" s="23" t="s">
        <v>67</v>
      </c>
      <c r="D1" s="23" t="s">
        <v>3</v>
      </c>
      <c r="E1" s="23" t="s">
        <v>68</v>
      </c>
      <c r="F1" s="23" t="s">
        <v>76</v>
      </c>
      <c r="G1" s="23" t="s">
        <v>77</v>
      </c>
    </row>
    <row r="2" spans="1:7" ht="15" x14ac:dyDescent="0.3">
      <c r="A2" s="3" t="s">
        <v>69</v>
      </c>
      <c r="B2" s="3" t="s">
        <v>7</v>
      </c>
      <c r="C2" s="3" t="s">
        <v>70</v>
      </c>
      <c r="D2" s="3">
        <v>2</v>
      </c>
      <c r="E2" s="3">
        <v>350</v>
      </c>
      <c r="F2" s="20">
        <f>E2*D2</f>
        <v>700</v>
      </c>
      <c r="G2" s="20" t="str">
        <f>A2&amp;"-"&amp;UPPER(B2)</f>
        <v>T1-AMIT</v>
      </c>
    </row>
    <row r="3" spans="1:7" ht="15" x14ac:dyDescent="0.3">
      <c r="A3" s="3" t="s">
        <v>71</v>
      </c>
      <c r="B3" s="3" t="s">
        <v>15</v>
      </c>
      <c r="C3" s="3" t="s">
        <v>72</v>
      </c>
      <c r="D3" s="3">
        <v>3</v>
      </c>
      <c r="E3" s="3">
        <v>180</v>
      </c>
      <c r="F3" s="20">
        <f t="shared" ref="F3:F5" si="0">E3*D3</f>
        <v>540</v>
      </c>
      <c r="G3" s="20" t="str">
        <f t="shared" ref="G3:G5" si="1">A3&amp;"-"&amp;UPPER(B3)</f>
        <v>T2-RAVI</v>
      </c>
    </row>
    <row r="4" spans="1:7" ht="15" x14ac:dyDescent="0.3">
      <c r="A4" s="3" t="s">
        <v>73</v>
      </c>
      <c r="B4" s="3" t="s">
        <v>18</v>
      </c>
      <c r="C4" s="3" t="s">
        <v>74</v>
      </c>
      <c r="D4" s="3">
        <v>1</v>
      </c>
      <c r="E4" s="3">
        <v>280</v>
      </c>
      <c r="F4" s="20">
        <f t="shared" si="0"/>
        <v>280</v>
      </c>
      <c r="G4" s="20" t="str">
        <f t="shared" si="1"/>
        <v>T3-PRIYA</v>
      </c>
    </row>
    <row r="5" spans="1:7" ht="15" x14ac:dyDescent="0.3">
      <c r="A5" s="6" t="s">
        <v>75</v>
      </c>
      <c r="B5" s="6" t="s">
        <v>11</v>
      </c>
      <c r="C5" s="6" t="s">
        <v>70</v>
      </c>
      <c r="D5" s="6">
        <v>4</v>
      </c>
      <c r="E5" s="6">
        <v>350</v>
      </c>
      <c r="F5" s="21">
        <f t="shared" si="0"/>
        <v>1400</v>
      </c>
      <c r="G5" s="21" t="str">
        <f t="shared" si="1"/>
        <v>T4-NEHA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1FA0-60BE-4459-8D06-3C27B78D8885}">
  <dimension ref="A1:H4"/>
  <sheetViews>
    <sheetView workbookViewId="0">
      <selection sqref="A1:H1"/>
    </sheetView>
  </sheetViews>
  <sheetFormatPr defaultRowHeight="14.4" x14ac:dyDescent="0.3"/>
  <cols>
    <col min="1" max="1" width="10.21875" bestFit="1" customWidth="1"/>
    <col min="2" max="2" width="11.6640625" bestFit="1" customWidth="1"/>
    <col min="3" max="3" width="11.21875" bestFit="1" customWidth="1"/>
    <col min="4" max="4" width="10.6640625" bestFit="1" customWidth="1"/>
    <col min="5" max="5" width="10.33203125" bestFit="1" customWidth="1"/>
    <col min="6" max="6" width="20.6640625" bestFit="1" customWidth="1"/>
    <col min="7" max="7" width="14.5546875" bestFit="1" customWidth="1"/>
    <col min="8" max="8" width="14.44140625" bestFit="1" customWidth="1"/>
  </cols>
  <sheetData>
    <row r="1" spans="1:8" ht="15" x14ac:dyDescent="0.3">
      <c r="A1" s="22" t="s">
        <v>78</v>
      </c>
      <c r="B1" s="22" t="s">
        <v>79</v>
      </c>
      <c r="C1" s="22" t="s">
        <v>80</v>
      </c>
      <c r="D1" s="22" t="s">
        <v>90</v>
      </c>
      <c r="E1" s="22" t="s">
        <v>91</v>
      </c>
      <c r="F1" s="22" t="s">
        <v>92</v>
      </c>
      <c r="G1" s="22" t="s">
        <v>93</v>
      </c>
      <c r="H1" s="22" t="s">
        <v>94</v>
      </c>
    </row>
    <row r="2" spans="1:8" ht="15" x14ac:dyDescent="0.3">
      <c r="A2" s="3" t="s">
        <v>81</v>
      </c>
      <c r="B2" s="3" t="s">
        <v>82</v>
      </c>
      <c r="C2" s="3" t="s">
        <v>83</v>
      </c>
      <c r="D2" s="1" t="str">
        <f>LEFT(A2,FIND(" ",A2)-1)</f>
        <v>Amit</v>
      </c>
      <c r="E2" s="1" t="str">
        <f>RIGHT(A2,LEN(A2)-FIND(" ",A2))</f>
        <v>Shah</v>
      </c>
      <c r="F2" s="1" t="str">
        <f>LOWER(D2&amp;"."&amp;E2&amp;"@airport.com")</f>
        <v>amit.shah@airport.com</v>
      </c>
      <c r="G2" s="1" t="str">
        <f>LEFT(B2,1)</f>
        <v>M</v>
      </c>
      <c r="H2" s="1" t="str">
        <f>UPPER(LEFT(C2,3))&amp;"-"&amp;B2</f>
        <v>DUB-M123456</v>
      </c>
    </row>
    <row r="3" spans="1:8" ht="15" x14ac:dyDescent="0.3">
      <c r="A3" s="3" t="s">
        <v>84</v>
      </c>
      <c r="B3" s="3" t="s">
        <v>85</v>
      </c>
      <c r="C3" s="3" t="s">
        <v>86</v>
      </c>
      <c r="D3" s="1" t="str">
        <f t="shared" ref="D3:D4" si="0">LEFT(A3,FIND(" ",A3)-1)</f>
        <v>Ravi</v>
      </c>
      <c r="E3" s="1" t="str">
        <f t="shared" ref="E3:E4" si="1">RIGHT(A3,LEN(A3)-FIND(" ",A3))</f>
        <v>Patel</v>
      </c>
      <c r="F3" s="1" t="str">
        <f t="shared" ref="F3:F4" si="2">LOWER(D3&amp;"."&amp;E3&amp;"@airport.com")</f>
        <v>ravi.patel@airport.com</v>
      </c>
      <c r="G3" s="1" t="str">
        <f t="shared" ref="G3:G4" si="3">LEFT(B3,1)</f>
        <v>N</v>
      </c>
      <c r="H3" s="1" t="str">
        <f t="shared" ref="H3:H4" si="4">UPPER(LEFT(C3,3))&amp;"-"&amp;B3</f>
        <v>SIN-N654321</v>
      </c>
    </row>
    <row r="4" spans="1:8" ht="15" x14ac:dyDescent="0.3">
      <c r="A4" s="3" t="s">
        <v>87</v>
      </c>
      <c r="B4" s="3" t="s">
        <v>88</v>
      </c>
      <c r="C4" s="3" t="s">
        <v>89</v>
      </c>
      <c r="D4" s="1" t="str">
        <f t="shared" si="0"/>
        <v>Neha</v>
      </c>
      <c r="E4" s="1" t="str">
        <f t="shared" si="1"/>
        <v>Joshi</v>
      </c>
      <c r="F4" s="1" t="str">
        <f t="shared" si="2"/>
        <v>neha.joshi@airport.com</v>
      </c>
      <c r="G4" s="1" t="str">
        <f t="shared" si="3"/>
        <v>P</v>
      </c>
      <c r="H4" s="1" t="str">
        <f t="shared" si="4"/>
        <v>LON-P987654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2BB0-D2C2-451B-9654-3CD350D38938}">
  <dimension ref="A1:G5"/>
  <sheetViews>
    <sheetView workbookViewId="0">
      <selection activeCell="G4" sqref="G4"/>
    </sheetView>
  </sheetViews>
  <sheetFormatPr defaultRowHeight="14.4" x14ac:dyDescent="0.3"/>
  <cols>
    <col min="1" max="1" width="6.44140625" bestFit="1" customWidth="1"/>
    <col min="2" max="2" width="6.21875" bestFit="1" customWidth="1"/>
    <col min="3" max="3" width="9.33203125" bestFit="1" customWidth="1"/>
    <col min="4" max="4" width="22.6640625" bestFit="1" customWidth="1"/>
    <col min="5" max="5" width="12.5546875" customWidth="1"/>
    <col min="6" max="6" width="11.77734375" customWidth="1"/>
  </cols>
  <sheetData>
    <row r="1" spans="1:7" ht="15" x14ac:dyDescent="0.35">
      <c r="A1" s="27" t="s">
        <v>95</v>
      </c>
      <c r="B1" s="27" t="s">
        <v>96</v>
      </c>
      <c r="C1" s="27" t="s">
        <v>97</v>
      </c>
      <c r="D1" s="28" t="s">
        <v>102</v>
      </c>
      <c r="E1" s="28" t="s">
        <v>103</v>
      </c>
      <c r="F1" s="28" t="s">
        <v>104</v>
      </c>
      <c r="G1" s="14"/>
    </row>
    <row r="2" spans="1:7" ht="15" x14ac:dyDescent="0.3">
      <c r="A2" s="3" t="s">
        <v>98</v>
      </c>
      <c r="B2" s="3">
        <v>450</v>
      </c>
      <c r="C2" s="3">
        <v>8</v>
      </c>
      <c r="D2" s="1">
        <f>B2/C2</f>
        <v>56.25</v>
      </c>
      <c r="E2" s="1" t="str">
        <f>IF(D2&gt;=60,"Excellent",IF(D2&gt;=40,"Good","Needs Practice"))</f>
        <v>Good</v>
      </c>
      <c r="F2" s="1" t="str">
        <f>UPPER(LEFT(A2,3))</f>
        <v>VIR</v>
      </c>
    </row>
    <row r="3" spans="1:7" ht="15" x14ac:dyDescent="0.3">
      <c r="A3" s="3" t="s">
        <v>99</v>
      </c>
      <c r="B3" s="3">
        <v>320</v>
      </c>
      <c r="C3" s="3">
        <v>7</v>
      </c>
      <c r="D3" s="1">
        <f>B3/C3</f>
        <v>45.714285714285715</v>
      </c>
      <c r="E3" s="1" t="str">
        <f t="shared" ref="E3:E5" si="0">IF(D3&gt;=60,"Excellent",IF(D3&gt;=40,"Good","Needs Practice"))</f>
        <v>Good</v>
      </c>
      <c r="F3" s="1" t="str">
        <f t="shared" ref="F3:F5" si="1">UPPER(LEFT(A3,3))</f>
        <v>ROH</v>
      </c>
    </row>
    <row r="4" spans="1:7" ht="15" x14ac:dyDescent="0.3">
      <c r="A4" s="10" t="s">
        <v>100</v>
      </c>
      <c r="B4" s="10">
        <v>520</v>
      </c>
      <c r="C4" s="10">
        <v>9</v>
      </c>
      <c r="D4" s="12">
        <f t="shared" ref="D3:D5" si="2">B4/C4</f>
        <v>57.777777777777779</v>
      </c>
      <c r="E4" s="12" t="str">
        <f t="shared" si="0"/>
        <v>Good</v>
      </c>
      <c r="F4" s="12" t="str">
        <f t="shared" si="1"/>
        <v>GIL</v>
      </c>
    </row>
    <row r="5" spans="1:7" ht="15" x14ac:dyDescent="0.3">
      <c r="A5" s="3" t="s">
        <v>101</v>
      </c>
      <c r="B5" s="3">
        <v>280</v>
      </c>
      <c r="C5" s="3">
        <v>6</v>
      </c>
      <c r="D5" s="1">
        <f t="shared" si="2"/>
        <v>46.666666666666664</v>
      </c>
      <c r="E5" s="1" t="str">
        <f t="shared" si="0"/>
        <v>Good</v>
      </c>
      <c r="F5" s="1" t="str">
        <f t="shared" si="1"/>
        <v>SKY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B9E4-7B58-4EED-B4EA-9D3E5E290028}">
  <dimension ref="A1:G5"/>
  <sheetViews>
    <sheetView workbookViewId="0">
      <selection activeCell="I15" sqref="I15"/>
    </sheetView>
  </sheetViews>
  <sheetFormatPr defaultRowHeight="14.4" x14ac:dyDescent="0.3"/>
  <cols>
    <col min="3" max="3" width="12.6640625" customWidth="1"/>
    <col min="5" max="5" width="13.33203125" bestFit="1" customWidth="1"/>
    <col min="6" max="6" width="14.88671875" bestFit="1" customWidth="1"/>
  </cols>
  <sheetData>
    <row r="1" spans="1:7" ht="15" x14ac:dyDescent="0.35">
      <c r="A1" s="31" t="s">
        <v>105</v>
      </c>
      <c r="B1" s="31" t="s">
        <v>25</v>
      </c>
      <c r="C1" s="31" t="s">
        <v>106</v>
      </c>
      <c r="D1" s="31" t="s">
        <v>107</v>
      </c>
      <c r="E1" s="32" t="s">
        <v>41</v>
      </c>
      <c r="F1" s="32" t="s">
        <v>111</v>
      </c>
      <c r="G1" s="19"/>
    </row>
    <row r="2" spans="1:7" ht="15" x14ac:dyDescent="0.3">
      <c r="A2" s="3" t="s">
        <v>7</v>
      </c>
      <c r="B2" s="3">
        <v>22</v>
      </c>
      <c r="C2" s="3" t="s">
        <v>108</v>
      </c>
      <c r="D2" s="3">
        <v>2500</v>
      </c>
      <c r="E2" s="1" t="str">
        <f>IF(B2&gt;=60,"Senior","Adult")</f>
        <v>Adult</v>
      </c>
      <c r="F2" s="1" t="str">
        <f>UPPER(LEFT(C2,2)&amp;"-"&amp;A2)</f>
        <v>GO-AMIT</v>
      </c>
    </row>
    <row r="3" spans="1:7" ht="15" x14ac:dyDescent="0.3">
      <c r="A3" s="3" t="s">
        <v>15</v>
      </c>
      <c r="B3" s="3">
        <v>45</v>
      </c>
      <c r="C3" s="3" t="s">
        <v>109</v>
      </c>
      <c r="D3" s="3">
        <v>1800</v>
      </c>
      <c r="E3" s="1" t="str">
        <f t="shared" ref="E3:E5" si="0">IF(B3&gt;=60,"Senior","Adult")</f>
        <v>Adult</v>
      </c>
      <c r="F3" s="1" t="str">
        <f t="shared" ref="F3:F5" si="1">UPPER(LEFT(C3,2)&amp;"-"&amp;A3)</f>
        <v>SI-RAVI</v>
      </c>
    </row>
    <row r="4" spans="1:7" ht="15" x14ac:dyDescent="0.3">
      <c r="A4" s="29" t="s">
        <v>11</v>
      </c>
      <c r="B4" s="29">
        <v>31</v>
      </c>
      <c r="C4" s="29" t="s">
        <v>110</v>
      </c>
      <c r="D4" s="29">
        <v>4000</v>
      </c>
      <c r="E4" s="30" t="str">
        <f t="shared" si="0"/>
        <v>Adult</v>
      </c>
      <c r="F4" s="30" t="str">
        <f t="shared" si="1"/>
        <v>PL-NEHA</v>
      </c>
    </row>
    <row r="5" spans="1:7" ht="15" x14ac:dyDescent="0.3">
      <c r="A5" s="3" t="s">
        <v>18</v>
      </c>
      <c r="B5" s="3">
        <v>26</v>
      </c>
      <c r="C5" s="3" t="s">
        <v>108</v>
      </c>
      <c r="D5" s="3">
        <v>2500</v>
      </c>
      <c r="E5" s="1" t="str">
        <f t="shared" si="0"/>
        <v>Adult</v>
      </c>
      <c r="F5" s="1" t="str">
        <f t="shared" si="1"/>
        <v>GO-PRIYA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C8E60-70C9-47B0-BD7D-AE5C5BA94AA1}">
  <dimension ref="A1:H5"/>
  <sheetViews>
    <sheetView workbookViewId="0">
      <selection activeCell="E9" sqref="E9"/>
    </sheetView>
  </sheetViews>
  <sheetFormatPr defaultRowHeight="14.4" x14ac:dyDescent="0.3"/>
  <cols>
    <col min="1" max="1" width="8.44140625" bestFit="1" customWidth="1"/>
    <col min="2" max="2" width="9.44140625" bestFit="1" customWidth="1"/>
    <col min="3" max="3" width="6" bestFit="1" customWidth="1"/>
    <col min="4" max="4" width="15.88671875" bestFit="1" customWidth="1"/>
    <col min="5" max="5" width="16.77734375" bestFit="1" customWidth="1"/>
    <col min="6" max="6" width="15" bestFit="1" customWidth="1"/>
    <col min="7" max="7" width="24.5546875" bestFit="1" customWidth="1"/>
  </cols>
  <sheetData>
    <row r="1" spans="1:8" ht="15" x14ac:dyDescent="0.3">
      <c r="A1" s="36" t="s">
        <v>112</v>
      </c>
      <c r="B1" s="36" t="s">
        <v>113</v>
      </c>
      <c r="C1" s="36" t="s">
        <v>107</v>
      </c>
      <c r="D1" s="36" t="s">
        <v>114</v>
      </c>
      <c r="E1" s="36" t="s">
        <v>120</v>
      </c>
      <c r="F1" s="36" t="s">
        <v>121</v>
      </c>
      <c r="G1" s="36" t="s">
        <v>122</v>
      </c>
      <c r="H1" s="33"/>
    </row>
    <row r="2" spans="1:8" ht="15" x14ac:dyDescent="0.3">
      <c r="A2" s="3" t="s">
        <v>7</v>
      </c>
      <c r="B2" s="3" t="s">
        <v>115</v>
      </c>
      <c r="C2" s="3">
        <v>5000</v>
      </c>
      <c r="D2" s="3" t="s">
        <v>116</v>
      </c>
      <c r="E2" s="1" t="str">
        <f>IF(D2="Paid","Active","Inactive")</f>
        <v>Active</v>
      </c>
      <c r="F2" s="1" t="str">
        <f>UPPER(LEFT(B2,2)&amp;"-"&amp;A2)</f>
        <v>EX-AMIT</v>
      </c>
      <c r="G2" s="1" t="str">
        <f>B2&amp;" - "&amp;A2</f>
        <v>Excel - Amit</v>
      </c>
      <c r="H2" s="33"/>
    </row>
    <row r="3" spans="1:8" ht="15" x14ac:dyDescent="0.3">
      <c r="A3" s="34" t="s">
        <v>15</v>
      </c>
      <c r="B3" s="34" t="s">
        <v>117</v>
      </c>
      <c r="C3" s="34">
        <v>6000</v>
      </c>
      <c r="D3" s="34" t="s">
        <v>13</v>
      </c>
      <c r="E3" s="35" t="str">
        <f t="shared" ref="E3:E5" si="0">IF(D3="Paid","Active","Inactive")</f>
        <v>Inactive</v>
      </c>
      <c r="F3" s="35" t="str">
        <f t="shared" ref="F3:F5" si="1">UPPER(LEFT(B3,2)&amp;"-"&amp;A3)</f>
        <v>SQ-RAVI</v>
      </c>
      <c r="G3" s="35" t="str">
        <f t="shared" ref="G3:G5" si="2">B3&amp;" - "&amp;A3</f>
        <v>SQL - Ravi</v>
      </c>
      <c r="H3" s="33"/>
    </row>
    <row r="4" spans="1:8" ht="15" x14ac:dyDescent="0.3">
      <c r="A4" s="3" t="s">
        <v>18</v>
      </c>
      <c r="B4" s="3" t="s">
        <v>118</v>
      </c>
      <c r="C4" s="3">
        <v>7000</v>
      </c>
      <c r="D4" s="3" t="s">
        <v>116</v>
      </c>
      <c r="E4" s="1" t="str">
        <f t="shared" si="0"/>
        <v>Active</v>
      </c>
      <c r="F4" s="1" t="str">
        <f t="shared" si="1"/>
        <v>PO-PRIYA</v>
      </c>
      <c r="G4" s="1" t="str">
        <f t="shared" si="2"/>
        <v>Power BI - Priya</v>
      </c>
      <c r="H4" s="33"/>
    </row>
    <row r="5" spans="1:8" ht="15" x14ac:dyDescent="0.3">
      <c r="A5" s="34" t="s">
        <v>11</v>
      </c>
      <c r="B5" s="34" t="s">
        <v>119</v>
      </c>
      <c r="C5" s="34">
        <v>8000</v>
      </c>
      <c r="D5" s="34" t="s">
        <v>13</v>
      </c>
      <c r="E5" s="35" t="str">
        <f t="shared" si="0"/>
        <v>Inactive</v>
      </c>
      <c r="F5" s="35" t="str">
        <f t="shared" si="1"/>
        <v>PY-NEHA</v>
      </c>
      <c r="G5" s="35" t="str">
        <f t="shared" si="2"/>
        <v>Python - Neha</v>
      </c>
      <c r="H5" s="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C5D4-9AB2-4BD2-978C-8ADE8C0309A1}">
  <dimension ref="A1:G5"/>
  <sheetViews>
    <sheetView tabSelected="1" workbookViewId="0">
      <selection activeCell="F18" sqref="F18"/>
    </sheetView>
  </sheetViews>
  <sheetFormatPr defaultRowHeight="14.4" x14ac:dyDescent="0.3"/>
  <cols>
    <col min="1" max="1" width="10.6640625" bestFit="1" customWidth="1"/>
    <col min="2" max="2" width="12.21875" bestFit="1" customWidth="1"/>
    <col min="3" max="3" width="11.77734375" bestFit="1" customWidth="1"/>
    <col min="4" max="4" width="9.6640625" bestFit="1" customWidth="1"/>
    <col min="5" max="5" width="11.21875" bestFit="1" customWidth="1"/>
    <col min="6" max="6" width="12.6640625" bestFit="1" customWidth="1"/>
    <col min="7" max="7" width="21.6640625" bestFit="1" customWidth="1"/>
  </cols>
  <sheetData>
    <row r="1" spans="1:7" ht="15" x14ac:dyDescent="0.35">
      <c r="A1" s="37" t="s">
        <v>123</v>
      </c>
      <c r="B1" s="37" t="s">
        <v>124</v>
      </c>
      <c r="C1" s="37" t="s">
        <v>125</v>
      </c>
      <c r="D1" s="37" t="s">
        <v>126</v>
      </c>
      <c r="E1" s="38" t="s">
        <v>129</v>
      </c>
      <c r="F1" s="38" t="s">
        <v>130</v>
      </c>
      <c r="G1" s="38" t="s">
        <v>131</v>
      </c>
    </row>
    <row r="2" spans="1:7" ht="15" x14ac:dyDescent="0.3">
      <c r="A2" s="3" t="s">
        <v>7</v>
      </c>
      <c r="B2" s="3">
        <v>2</v>
      </c>
      <c r="C2" s="3">
        <v>85</v>
      </c>
      <c r="D2" s="3" t="s">
        <v>127</v>
      </c>
      <c r="E2" s="1" t="str">
        <f>IF(AND(B2&gt;=1,D2="Yes"),"Selected","Rejected")</f>
        <v>Selected</v>
      </c>
      <c r="F2" s="1" t="str">
        <f>UPPER(LEFT(A2,2)&amp;"-"&amp;TEXT(B2,"00"))</f>
        <v>AM-02</v>
      </c>
      <c r="G2" s="1" t="str">
        <f>UPPER(D2)</f>
        <v>YES</v>
      </c>
    </row>
    <row r="3" spans="1:7" ht="15" x14ac:dyDescent="0.3">
      <c r="A3" s="3" t="s">
        <v>15</v>
      </c>
      <c r="B3" s="3">
        <v>0</v>
      </c>
      <c r="C3" s="3">
        <v>78</v>
      </c>
      <c r="D3" s="3" t="s">
        <v>128</v>
      </c>
      <c r="E3" s="1" t="str">
        <f t="shared" ref="E3:E5" si="0">IF(AND(B3&gt;=1,D3="Yes"),"Selected","Rejected")</f>
        <v>Rejected</v>
      </c>
      <c r="F3" s="1" t="str">
        <f t="shared" ref="F3:F5" si="1">UPPER(LEFT(A3,2)&amp;"-"&amp;TEXT(B3,"00"))</f>
        <v>RA-00</v>
      </c>
      <c r="G3" s="1" t="str">
        <f t="shared" ref="G3:G5" si="2">UPPER(D3)</f>
        <v>NO</v>
      </c>
    </row>
    <row r="4" spans="1:7" ht="15" x14ac:dyDescent="0.3">
      <c r="A4" s="39" t="s">
        <v>18</v>
      </c>
      <c r="B4" s="39">
        <v>4</v>
      </c>
      <c r="C4" s="39">
        <v>91</v>
      </c>
      <c r="D4" s="39" t="s">
        <v>127</v>
      </c>
      <c r="E4" s="13" t="str">
        <f t="shared" si="0"/>
        <v>Selected</v>
      </c>
      <c r="F4" s="13" t="str">
        <f t="shared" si="1"/>
        <v>PR-04</v>
      </c>
      <c r="G4" s="13" t="str">
        <f t="shared" si="2"/>
        <v>YES</v>
      </c>
    </row>
    <row r="5" spans="1:7" ht="15" x14ac:dyDescent="0.3">
      <c r="A5" s="3" t="s">
        <v>11</v>
      </c>
      <c r="B5" s="3">
        <v>1</v>
      </c>
      <c r="C5" s="3">
        <v>68</v>
      </c>
      <c r="D5" s="3" t="s">
        <v>127</v>
      </c>
      <c r="E5" s="1" t="str">
        <f t="shared" si="0"/>
        <v>Selected</v>
      </c>
      <c r="F5" s="1" t="str">
        <f t="shared" si="1"/>
        <v>NE-01</v>
      </c>
      <c r="G5" s="1" t="str">
        <f t="shared" si="2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DHANI SHAH</dc:creator>
  <cp:lastModifiedBy>DHANI SHAH</cp:lastModifiedBy>
  <dcterms:created xsi:type="dcterms:W3CDTF">2026-07-10T16:20:06Z</dcterms:created>
  <dcterms:modified xsi:type="dcterms:W3CDTF">2026-07-10T17:21:01Z</dcterms:modified>
</cp:coreProperties>
</file>